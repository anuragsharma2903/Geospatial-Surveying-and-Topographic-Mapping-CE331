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  <extLst>
    <ext uri="GoogleSheetsCustomDataVersion2">
      <go:sheetsCustomData xmlns:go="http://customooxmlschemas.google.com/" r:id="rId6" roundtripDataChecksum="AyoQ7mbWRRf+orMy0gu1cavTzvlsyiAuHNC6hzLUvXY="/>
    </ext>
  </extLst>
</workbook>
</file>

<file path=xl/sharedStrings.xml><?xml version="1.0" encoding="utf-8"?>
<sst xmlns="http://schemas.openxmlformats.org/spreadsheetml/2006/main" count="92" uniqueCount="71">
  <si>
    <t>CP</t>
  </si>
  <si>
    <t>Station Observed</t>
  </si>
  <si>
    <t>Face (L/R)</t>
  </si>
  <si>
    <t>Horizontal Angle</t>
  </si>
  <si>
    <t>Readings</t>
  </si>
  <si>
    <t>Distance</t>
  </si>
  <si>
    <t>Angle In Decimal Format</t>
  </si>
  <si>
    <t>Internal Angle(°)</t>
  </si>
  <si>
    <t>Correction (°)</t>
  </si>
  <si>
    <t>Corrected Internal Angle</t>
  </si>
  <si>
    <t>R</t>
  </si>
  <si>
    <t>0° 0' 0''</t>
  </si>
  <si>
    <t>81° 50' 21''</t>
  </si>
  <si>
    <t>1'</t>
  </si>
  <si>
    <t>0° 0' 1''</t>
  </si>
  <si>
    <t>Error</t>
  </si>
  <si>
    <t>0° 0' 00''</t>
  </si>
  <si>
    <t>186° 20' 15''</t>
  </si>
  <si>
    <t>2'</t>
  </si>
  <si>
    <t>359° 59' 57''</t>
  </si>
  <si>
    <t>0° 0' 3''</t>
  </si>
  <si>
    <t>87° 19' 22''</t>
  </si>
  <si>
    <t>3'</t>
  </si>
  <si>
    <t>359° 59' 37''</t>
  </si>
  <si>
    <t>0° 0' 23''</t>
  </si>
  <si>
    <t>84° 55' 25''</t>
  </si>
  <si>
    <t>4'</t>
  </si>
  <si>
    <t>359° 59' 48''</t>
  </si>
  <si>
    <t>0° 0' 12''</t>
  </si>
  <si>
    <t>99° 33' 17''</t>
  </si>
  <si>
    <t>5'</t>
  </si>
  <si>
    <t>0° 01' 15''</t>
  </si>
  <si>
    <t>Sum of all internal angles ---&gt;
 (Uncorrected)</t>
  </si>
  <si>
    <t>Actual Sum of Angles ----&gt;
{(n-2)*180 }</t>
  </si>
  <si>
    <t xml:space="preserve">Angle Misclosure (in degree) --&gt; </t>
  </si>
  <si>
    <t xml:space="preserve">Angle Misclosure (in seconds) --&gt; </t>
  </si>
  <si>
    <t>Angle Misclosure(in seconds)</t>
  </si>
  <si>
    <t>Quality of work</t>
  </si>
  <si>
    <t>c</t>
  </si>
  <si>
    <t>Permissible limit of closing error</t>
  </si>
  <si>
    <t>First Order</t>
  </si>
  <si>
    <t>Second Order</t>
  </si>
  <si>
    <t>Third Order</t>
  </si>
  <si>
    <t>CP OBSERVED</t>
  </si>
  <si>
    <t xml:space="preserve"> Distance</t>
  </si>
  <si>
    <t>internal angle</t>
  </si>
  <si>
    <t>Corrected internal angle</t>
  </si>
  <si>
    <t>TOTAL</t>
  </si>
  <si>
    <t>Perimeter =</t>
  </si>
  <si>
    <t>186° 20' 16''</t>
  </si>
  <si>
    <t>540° 57'  41''</t>
  </si>
  <si>
    <t>corrected at each cp individual error then angle</t>
  </si>
  <si>
    <t>Line</t>
  </si>
  <si>
    <t>WCB</t>
  </si>
  <si>
    <t>Length(m)</t>
  </si>
  <si>
    <t>Latitude</t>
  </si>
  <si>
    <t>Departure</t>
  </si>
  <si>
    <t>Calculated</t>
  </si>
  <si>
    <t>Correction</t>
  </si>
  <si>
    <t>Corrected</t>
  </si>
  <si>
    <t>AB</t>
  </si>
  <si>
    <t>3.5°</t>
  </si>
  <si>
    <t>BC</t>
  </si>
  <si>
    <t>249.36°</t>
  </si>
  <si>
    <t>CD</t>
  </si>
  <si>
    <t>220.08°</t>
  </si>
  <si>
    <t>DE</t>
  </si>
  <si>
    <t>156.88°</t>
  </si>
  <si>
    <t>EA</t>
  </si>
  <si>
    <t>82.99°</t>
  </si>
  <si>
    <t>Sum --&gt;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</si>
</sst>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color theme="1"/>
      <name val="Arial"/>
    </font>
    <font>
      <color theme="1"/>
      <name val="Arial"/>
    </font>
    <font>
      <b/>
      <sz val="12.0"/>
      <color rgb="FF000000"/>
      <name val="Times New Roman"/>
    </font>
    <font/>
    <font>
      <color rgb="FF000000"/>
      <name val="Aptos Narrow"/>
      <scheme val="minor"/>
    </font>
    <font>
      <sz val="12.0"/>
      <color theme="1"/>
      <name val="Times New Roman"/>
    </font>
    <font>
      <color theme="1"/>
      <name val="Aptos Narrow"/>
      <scheme val="minor"/>
    </font>
    <font>
      <color rgb="FF000000"/>
      <name val="Arial"/>
    </font>
    <font>
      <b/>
      <color rgb="FF9900FF"/>
      <name val="Arial"/>
    </font>
    <font>
      <color rgb="FF9900FF"/>
      <name val="Aptos Narrow"/>
      <scheme val="minor"/>
    </font>
    <font>
      <b/>
      <sz val="12.0"/>
      <color rgb="FFFFFFFF"/>
      <name val="Times New Roman"/>
    </font>
    <font>
      <b/>
      <sz val="11.0"/>
      <color theme="0"/>
      <name val="Times New Roman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5" fillId="0" fontId="4" numFmtId="0" xfId="0" applyBorder="1" applyFont="1"/>
    <xf borderId="6" fillId="2" fontId="3" numFmtId="0" xfId="0" applyBorder="1" applyFont="1"/>
    <xf borderId="6" fillId="2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7" fillId="3" fontId="6" numFmtId="0" xfId="0" applyAlignment="1" applyBorder="1" applyFill="1" applyFont="1">
      <alignment horizontal="center" readingOrder="0"/>
    </xf>
    <xf borderId="6" fillId="3" fontId="6" numFmtId="0" xfId="0" applyAlignment="1" applyBorder="1" applyFont="1">
      <alignment readingOrder="0"/>
    </xf>
    <xf borderId="1" fillId="3" fontId="6" numFmtId="0" xfId="0" applyAlignment="1" applyBorder="1" applyFont="1">
      <alignment horizontal="center"/>
    </xf>
    <xf borderId="6" fillId="3" fontId="6" numFmtId="0" xfId="0" applyAlignment="1" applyBorder="1" applyFont="1">
      <alignment horizontal="center" readingOrder="0"/>
    </xf>
    <xf borderId="0" fillId="3" fontId="7" numFmtId="0" xfId="0" applyFont="1"/>
    <xf borderId="7" fillId="0" fontId="4" numFmtId="0" xfId="0" applyBorder="1" applyFont="1"/>
    <xf borderId="6" fillId="3" fontId="6" numFmtId="0" xfId="0" applyBorder="1" applyFont="1"/>
    <xf borderId="6" fillId="3" fontId="6" numFmtId="0" xfId="0" applyAlignment="1" applyBorder="1" applyFont="1">
      <alignment horizontal="center"/>
    </xf>
    <xf borderId="1" fillId="3" fontId="6" numFmtId="0" xfId="0" applyAlignment="1" applyBorder="1" applyFont="1">
      <alignment horizontal="center" readingOrder="0"/>
    </xf>
    <xf borderId="6" fillId="0" fontId="6" numFmtId="0" xfId="0" applyBorder="1" applyFont="1"/>
    <xf borderId="6" fillId="4" fontId="6" numFmtId="0" xfId="0" applyAlignment="1" applyBorder="1" applyFill="1" applyFont="1">
      <alignment readingOrder="0" shrinkToFit="0" wrapText="1"/>
    </xf>
    <xf borderId="6" fillId="4" fontId="6" numFmtId="0" xfId="0" applyBorder="1" applyFont="1"/>
    <xf borderId="1" fillId="4" fontId="6" numFmtId="0" xfId="0" applyBorder="1" applyFont="1"/>
    <xf borderId="6" fillId="4" fontId="6" numFmtId="0" xfId="0" applyAlignment="1" applyBorder="1" applyFont="1">
      <alignment shrinkToFit="0" wrapText="1"/>
    </xf>
    <xf borderId="6" fillId="4" fontId="6" numFmtId="0" xfId="0" applyAlignment="1" applyBorder="1" applyFont="1">
      <alignment readingOrder="0"/>
    </xf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1" fillId="5" fontId="9" numFmtId="0" xfId="0" applyAlignment="1" applyBorder="1" applyFill="1" applyFont="1">
      <alignment readingOrder="0"/>
    </xf>
    <xf borderId="1" fillId="5" fontId="9" numFmtId="0" xfId="0" applyAlignment="1" applyBorder="1" applyFont="1">
      <alignment horizontal="left" readingOrder="0"/>
    </xf>
    <xf borderId="0" fillId="0" fontId="10" numFmtId="0" xfId="0" applyFont="1"/>
    <xf borderId="1" fillId="6" fontId="2" numFmtId="0" xfId="0" applyAlignment="1" applyBorder="1" applyFill="1" applyFont="1">
      <alignment readingOrder="0"/>
    </xf>
    <xf borderId="1" fillId="6" fontId="7" numFmtId="0" xfId="0" applyBorder="1" applyFont="1"/>
    <xf borderId="1" fillId="6" fontId="6" numFmtId="0" xfId="0" applyAlignment="1" applyBorder="1" applyFont="1">
      <alignment horizontal="center"/>
    </xf>
    <xf borderId="6" fillId="6" fontId="1" numFmtId="0" xfId="0" applyAlignment="1" applyBorder="1" applyFont="1">
      <alignment readingOrder="0"/>
    </xf>
    <xf borderId="6" fillId="6" fontId="2" numFmtId="0" xfId="0" applyAlignment="1" applyBorder="1" applyFont="1">
      <alignment readingOrder="0"/>
    </xf>
    <xf borderId="6" fillId="6" fontId="7" numFmtId="0" xfId="0" applyBorder="1" applyFont="1"/>
    <xf borderId="6" fillId="6" fontId="6" numFmtId="0" xfId="0" applyBorder="1" applyFont="1"/>
    <xf borderId="0" fillId="0" fontId="5" numFmtId="11" xfId="0" applyAlignment="1" applyFont="1" applyNumberFormat="1">
      <alignment readingOrder="0"/>
    </xf>
    <xf borderId="0" fillId="0" fontId="5" numFmtId="46" xfId="0" applyAlignment="1" applyFont="1" applyNumberFormat="1">
      <alignment readingOrder="0"/>
    </xf>
    <xf borderId="1" fillId="3" fontId="6" numFmtId="0" xfId="0" applyAlignment="1" applyBorder="1" applyFont="1">
      <alignment readingOrder="0"/>
    </xf>
    <xf borderId="1" fillId="3" fontId="7" numFmtId="0" xfId="0" applyBorder="1" applyFont="1"/>
    <xf borderId="6" fillId="7" fontId="11" numFmtId="0" xfId="0" applyAlignment="1" applyBorder="1" applyFill="1" applyFont="1">
      <alignment readingOrder="0"/>
    </xf>
    <xf borderId="1" fillId="7" fontId="12" numFmtId="0" xfId="0" applyAlignment="1" applyBorder="1" applyFont="1">
      <alignment horizontal="center" vertical="center"/>
    </xf>
    <xf borderId="2" fillId="7" fontId="12" numFmtId="0" xfId="0" applyAlignment="1" applyBorder="1" applyFont="1">
      <alignment horizontal="center" vertical="center"/>
    </xf>
    <xf borderId="8" fillId="0" fontId="4" numFmtId="0" xfId="0" applyBorder="1" applyFont="1"/>
    <xf borderId="6" fillId="7" fontId="12" numFmtId="0" xfId="0" applyAlignment="1" applyBorder="1" applyFont="1">
      <alignment horizontal="center" vertical="center"/>
    </xf>
    <xf borderId="6" fillId="7" fontId="12" numFmtId="0" xfId="0" applyAlignment="1" applyBorder="1" applyFont="1">
      <alignment horizontal="center" shrinkToFit="0" vertical="center" wrapText="1"/>
    </xf>
    <xf borderId="6" fillId="0" fontId="13" numFmtId="0" xfId="0" applyBorder="1" applyFont="1"/>
    <xf borderId="6" fillId="4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5"/>
    <col customWidth="1" min="3" max="3" width="11.25"/>
    <col customWidth="1" min="4" max="4" width="23.88"/>
    <col customWidth="1" min="5" max="5" width="25.13"/>
    <col customWidth="1" min="6" max="6" width="27.38"/>
    <col customWidth="1" min="7" max="7" width="40.5"/>
    <col customWidth="1" min="8" max="8" width="14.38"/>
    <col customWidth="1" min="9" max="9" width="25.75"/>
    <col customWidth="1" min="10" max="23" width="8.63"/>
  </cols>
  <sheetData>
    <row r="1" ht="14.25" customHeight="1"/>
    <row r="2" ht="14.25" customHeight="1">
      <c r="I2" s="1"/>
    </row>
    <row r="3" ht="14.25" customHeight="1">
      <c r="I3" s="2"/>
    </row>
    <row r="4" ht="14.25" customHeight="1">
      <c r="A4" s="3" t="s">
        <v>0</v>
      </c>
      <c r="B4" s="4" t="s">
        <v>1</v>
      </c>
      <c r="C4" s="4" t="s">
        <v>2</v>
      </c>
      <c r="D4" s="5" t="s">
        <v>3</v>
      </c>
      <c r="E4" s="6"/>
      <c r="F4" s="6"/>
      <c r="G4" s="6"/>
      <c r="H4" s="6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14.25" customHeight="1">
      <c r="A5" s="9"/>
      <c r="B5" s="9"/>
      <c r="C5" s="9"/>
      <c r="D5" s="10" t="s">
        <v>4</v>
      </c>
      <c r="E5" s="11" t="s">
        <v>5</v>
      </c>
      <c r="F5" s="11" t="s">
        <v>6</v>
      </c>
      <c r="G5" s="12" t="s">
        <v>7</v>
      </c>
      <c r="H5" s="10" t="s">
        <v>8</v>
      </c>
      <c r="I5" s="11" t="s">
        <v>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14.25" customHeight="1">
      <c r="A6" s="13">
        <v>2.0</v>
      </c>
      <c r="B6" s="14">
        <v>1.0</v>
      </c>
      <c r="C6" s="15" t="s">
        <v>10</v>
      </c>
      <c r="D6" s="14" t="s">
        <v>11</v>
      </c>
      <c r="E6" s="16">
        <v>89.184</v>
      </c>
      <c r="F6" s="14">
        <f>IFERROR(__xludf.DUMMYFUNCTION("LET(
 text,SUBSTITUTE(SUBSTITUTE(SUBSTITUTE(D6,""°"","" ""),""'"", "" ""),"""""""","" ""),
 parts,SPLIT(TRIM(text),"" ""),
 VALUE(INDEX(parts,1)) + VALUE(INDEX(parts,2))/60 + VALUE(INDEX(parts,3))/3600
)
"),0.0)</f>
        <v>0</v>
      </c>
      <c r="G6" s="17">
        <f>F7- 1/(360* 3600)*F7</f>
        <v>81.83910352</v>
      </c>
      <c r="H6" s="15">
        <f>0.02527926205/5</f>
        <v>0.00505585241</v>
      </c>
      <c r="I6" s="15">
        <f>G6+H6</f>
        <v>81.84415937</v>
      </c>
    </row>
    <row r="7" ht="14.25" customHeight="1">
      <c r="A7" s="18"/>
      <c r="B7" s="14">
        <v>3.0</v>
      </c>
      <c r="C7" s="18"/>
      <c r="D7" s="14" t="s">
        <v>12</v>
      </c>
      <c r="E7" s="16">
        <v>41.328</v>
      </c>
      <c r="F7" s="14">
        <f>IFERROR(__xludf.DUMMYFUNCTION("LET(
 text,SUBSTITUTE(SUBSTITUTE(SUBSTITUTE(D7,""°"","" ""),""'"", "" ""),"""""""","" ""),
 parts,SPLIT(TRIM(text),"" ""),
 VALUE(INDEX(parts,1)) + VALUE(INDEX(parts,2))/60 + VALUE(INDEX(parts,3))/3600
)
"),81.83916666666666)</f>
        <v>81.83916667</v>
      </c>
      <c r="H7" s="18"/>
      <c r="I7" s="18"/>
    </row>
    <row r="8" ht="14.25" customHeight="1">
      <c r="A8" s="18"/>
      <c r="B8" s="14" t="s">
        <v>13</v>
      </c>
      <c r="C8" s="18"/>
      <c r="D8" s="14" t="s">
        <v>14</v>
      </c>
      <c r="E8" s="16">
        <v>89.184</v>
      </c>
      <c r="F8" s="14">
        <f>IFERROR(__xludf.DUMMYFUNCTION("LET(
 text,SUBSTITUTE(SUBSTITUTE(SUBSTITUTE(D8,""°"","" ""),""'"", "" ""),"""""""","" ""),
 parts,SPLIT(TRIM(text),"" ""),
 VALUE(INDEX(parts,1)) + VALUE(INDEX(parts,2))/60 + VALUE(INDEX(parts,3))/3600
)
"),2.777777777777778E-4)</f>
        <v>0.0002777777778</v>
      </c>
      <c r="H8" s="18"/>
      <c r="I8" s="18"/>
    </row>
    <row r="9" ht="14.25" customHeight="1">
      <c r="A9" s="9"/>
      <c r="B9" s="19" t="s">
        <v>15</v>
      </c>
      <c r="C9" s="9"/>
      <c r="D9" s="14" t="s">
        <v>14</v>
      </c>
      <c r="E9" s="20"/>
      <c r="F9" s="14">
        <f>IFERROR(__xludf.DUMMYFUNCTION("LET(
 text,SUBSTITUTE(SUBSTITUTE(SUBSTITUTE(D9,""°"","" ""),""'"", "" ""),"""""""","" ""),
 parts,SPLIT(TRIM(text),"" ""),
 VALUE(INDEX(parts,1)) + VALUE(INDEX(parts,2))/60 + VALUE(INDEX(parts,3))/3600
)
"),2.777777777777778E-4)</f>
        <v>0.0002777777778</v>
      </c>
      <c r="H9" s="9"/>
      <c r="I9" s="9"/>
    </row>
    <row r="10" ht="14.25" customHeight="1">
      <c r="A10" s="13">
        <v>3.0</v>
      </c>
      <c r="B10" s="14">
        <v>2.0</v>
      </c>
      <c r="C10" s="15" t="s">
        <v>10</v>
      </c>
      <c r="D10" s="14" t="s">
        <v>16</v>
      </c>
      <c r="E10" s="16">
        <v>41.328</v>
      </c>
      <c r="F10" s="14">
        <f>IFERROR(__xludf.DUMMYFUNCTION("LET(
 text,SUBSTITUTE(SUBSTITUTE(SUBSTITUTE(D10,""°"","" ""),""'"", "" ""),"""""""","" ""),
 parts,SPLIT(TRIM(text),"" ""),
 VALUE(INDEX(parts,1)) + VALUE(INDEX(parts,2))/60 + VALUE(INDEX(parts,3))/3600
)
"),0.0)</f>
        <v>0</v>
      </c>
      <c r="G10" s="17">
        <f>F11+ 3/(360* 3600)*F11</f>
        <v>186.3379313</v>
      </c>
      <c r="H10" s="15">
        <f>0.02527926205/5</f>
        <v>0.00505585241</v>
      </c>
      <c r="I10" s="15">
        <f>G10+H10</f>
        <v>186.3429872</v>
      </c>
    </row>
    <row r="11" ht="14.25" customHeight="1">
      <c r="A11" s="18"/>
      <c r="B11" s="14">
        <v>4.0</v>
      </c>
      <c r="C11" s="18"/>
      <c r="D11" s="14" t="s">
        <v>17</v>
      </c>
      <c r="E11" s="16">
        <v>28.391</v>
      </c>
      <c r="F11" s="14">
        <f>IFERROR(__xludf.DUMMYFUNCTION("LET(
 text,SUBSTITUTE(SUBSTITUTE(SUBSTITUTE(D11,""°"","" ""),""'"", "" ""),"""""""","" ""),
 parts,SPLIT(TRIM(text),"" ""),
 VALUE(INDEX(parts,1)) + VALUE(INDEX(parts,2))/60 + VALUE(INDEX(parts,3))/3600
)
"),186.3375)</f>
        <v>186.3375</v>
      </c>
      <c r="H11" s="18"/>
      <c r="I11" s="18"/>
    </row>
    <row r="12" ht="14.25" customHeight="1">
      <c r="A12" s="18"/>
      <c r="B12" s="14" t="s">
        <v>18</v>
      </c>
      <c r="C12" s="18"/>
      <c r="D12" s="14" t="s">
        <v>19</v>
      </c>
      <c r="E12" s="16">
        <v>41.328</v>
      </c>
      <c r="F12" s="14">
        <f>IFERROR(__xludf.DUMMYFUNCTION("LET(
 text,SUBSTITUTE(SUBSTITUTE(SUBSTITUTE(D12,""°"","" ""),""'"", "" ""),"""""""","" ""),
 parts,SPLIT(TRIM(text),"" ""),
 VALUE(INDEX(parts,1)) + VALUE(INDEX(parts,2))/60 + VALUE(INDEX(parts,3))/3600
)
"),359.99916666666667)</f>
        <v>359.9991667</v>
      </c>
      <c r="H12" s="18"/>
      <c r="I12" s="18"/>
    </row>
    <row r="13" ht="14.25" customHeight="1">
      <c r="A13" s="9"/>
      <c r="B13" s="19" t="s">
        <v>15</v>
      </c>
      <c r="C13" s="9"/>
      <c r="D13" s="14" t="s">
        <v>20</v>
      </c>
      <c r="E13" s="20"/>
      <c r="F13" s="14">
        <f>IFERROR(__xludf.DUMMYFUNCTION("LET(
 text,SUBSTITUTE(SUBSTITUTE(SUBSTITUTE(D13,""°"","" ""),""'"", "" ""),"""""""","" ""),
 parts,SPLIT(TRIM(text),"" ""),
 VALUE(INDEX(parts,1)) + VALUE(INDEX(parts,2))/60 + VALUE(INDEX(parts,3))/3600
)
"),8.333333333333334E-4)</f>
        <v>0.0008333333333</v>
      </c>
      <c r="H13" s="9"/>
      <c r="I13" s="9"/>
    </row>
    <row r="14" ht="14.25" customHeight="1">
      <c r="A14" s="13">
        <v>4.0</v>
      </c>
      <c r="B14" s="14">
        <v>3.0</v>
      </c>
      <c r="C14" s="15" t="s">
        <v>10</v>
      </c>
      <c r="D14" s="14" t="s">
        <v>11</v>
      </c>
      <c r="E14" s="16">
        <v>28.391</v>
      </c>
      <c r="F14" s="14">
        <f>IFERROR(__xludf.DUMMYFUNCTION("LET(
 text,SUBSTITUTE(SUBSTITUTE(SUBSTITUTE(D14,""°"","" ""),""'"", "" ""),"""""""","" ""),
 parts,SPLIT(TRIM(text),"" ""),
 VALUE(INDEX(parts,1)) + VALUE(INDEX(parts,2))/60 + VALUE(INDEX(parts,3))/3600
)
"),0.0)</f>
        <v>0</v>
      </c>
      <c r="G14" s="17">
        <f>F15+(23/(360* 3600))*F15</f>
        <v>87.32432749</v>
      </c>
      <c r="H14" s="15">
        <f>0.02527926205/5</f>
        <v>0.00505585241</v>
      </c>
      <c r="I14" s="15">
        <f>G14+H14</f>
        <v>87.32938334</v>
      </c>
    </row>
    <row r="15" ht="14.25" customHeight="1">
      <c r="A15" s="18"/>
      <c r="B15" s="14">
        <v>5.0</v>
      </c>
      <c r="C15" s="18"/>
      <c r="D15" s="14" t="s">
        <v>21</v>
      </c>
      <c r="E15" s="16">
        <v>93.11</v>
      </c>
      <c r="F15" s="14">
        <f>IFERROR(__xludf.DUMMYFUNCTION("LET(
 text,SUBSTITUTE(SUBSTITUTE(SUBSTITUTE(D15,""°"","" ""),""'"", "" ""),"""""""","" ""),
 parts,SPLIT(TRIM(text),"" ""),
 VALUE(INDEX(parts,1)) + VALUE(INDEX(parts,2))/60 + VALUE(INDEX(parts,3))/3600
)
"),87.32277777777777)</f>
        <v>87.32277778</v>
      </c>
      <c r="H15" s="18"/>
      <c r="I15" s="18"/>
    </row>
    <row r="16" ht="14.25" customHeight="1">
      <c r="A16" s="18"/>
      <c r="B16" s="14" t="s">
        <v>22</v>
      </c>
      <c r="C16" s="18"/>
      <c r="D16" s="14" t="s">
        <v>23</v>
      </c>
      <c r="E16" s="16">
        <v>28.391</v>
      </c>
      <c r="F16" s="14">
        <f>IFERROR(__xludf.DUMMYFUNCTION("LET(
 text,SUBSTITUTE(SUBSTITUTE(SUBSTITUTE(D16,""°"","" ""),""'"", "" ""),"""""""","" ""),
 parts,SPLIT(TRIM(text),"" ""),
 VALUE(INDEX(parts,1)) + VALUE(INDEX(parts,2))/60 + VALUE(INDEX(parts,3))/3600
)
"),359.99361111111114)</f>
        <v>359.9936111</v>
      </c>
      <c r="H16" s="18"/>
      <c r="I16" s="18"/>
    </row>
    <row r="17" ht="14.25" customHeight="1">
      <c r="A17" s="9"/>
      <c r="B17" s="19" t="s">
        <v>15</v>
      </c>
      <c r="C17" s="9"/>
      <c r="D17" s="14" t="s">
        <v>24</v>
      </c>
      <c r="E17" s="20"/>
      <c r="F17" s="14">
        <f>IFERROR(__xludf.DUMMYFUNCTION("LET(
 text,SUBSTITUTE(SUBSTITUTE(SUBSTITUTE(D17,""°"","" ""),""'"", "" ""),"""""""","" ""),
 parts,SPLIT(TRIM(text),"" ""),
 VALUE(INDEX(parts,1)) + VALUE(INDEX(parts,2))/60 + VALUE(INDEX(parts,3))/3600
)
"),0.006388888888888889)</f>
        <v>0.006388888889</v>
      </c>
      <c r="H17" s="9"/>
      <c r="I17" s="9"/>
    </row>
    <row r="18" ht="14.25" customHeight="1">
      <c r="A18" s="13">
        <v>5.0</v>
      </c>
      <c r="B18" s="14">
        <v>4.0</v>
      </c>
      <c r="C18" s="15" t="s">
        <v>10</v>
      </c>
      <c r="D18" s="14" t="s">
        <v>11</v>
      </c>
      <c r="E18" s="16">
        <v>93.11</v>
      </c>
      <c r="F18" s="14">
        <f>IFERROR(__xludf.DUMMYFUNCTION("LET(
 text,SUBSTITUTE(SUBSTITUTE(SUBSTITUTE(D18,""°"","" ""),""'"", "" ""),"""""""","" ""),
 parts,SPLIT(TRIM(text),"" ""),
 VALUE(INDEX(parts,1)) + VALUE(INDEX(parts,2))/60 + VALUE(INDEX(parts,3))/3600
)
"),0.0)</f>
        <v>0</v>
      </c>
      <c r="G18" s="17">
        <f>F19+ 12/(360* 3600)*F19</f>
        <v>84.92439744</v>
      </c>
      <c r="H18" s="15">
        <f>0.02527926205/5</f>
        <v>0.00505585241</v>
      </c>
      <c r="I18" s="15">
        <f>G18+H18</f>
        <v>84.92945329</v>
      </c>
    </row>
    <row r="19" ht="14.25" customHeight="1">
      <c r="A19" s="18"/>
      <c r="B19" s="14">
        <v>1.0</v>
      </c>
      <c r="C19" s="18"/>
      <c r="D19" s="14" t="s">
        <v>25</v>
      </c>
      <c r="E19" s="16">
        <v>62.917</v>
      </c>
      <c r="F19" s="14">
        <f>IFERROR(__xludf.DUMMYFUNCTION("LET(
 text,SUBSTITUTE(SUBSTITUTE(SUBSTITUTE(D19,""°"","" ""),""'"", "" ""),"""""""","" ""),
 parts,SPLIT(TRIM(text),"" ""),
 VALUE(INDEX(parts,1)) + VALUE(INDEX(parts,2))/60 + VALUE(INDEX(parts,3))/3600
)
"),84.92361111111111)</f>
        <v>84.92361111</v>
      </c>
      <c r="H19" s="18"/>
      <c r="I19" s="18"/>
    </row>
    <row r="20" ht="14.25" customHeight="1">
      <c r="A20" s="18"/>
      <c r="B20" s="14" t="s">
        <v>26</v>
      </c>
      <c r="C20" s="18"/>
      <c r="D20" s="14" t="s">
        <v>27</v>
      </c>
      <c r="E20" s="16">
        <v>93.11</v>
      </c>
      <c r="F20" s="14">
        <f>IFERROR(__xludf.DUMMYFUNCTION("LET(
 text,SUBSTITUTE(SUBSTITUTE(SUBSTITUTE(D20,""°"","" ""),""'"", "" ""),"""""""","" ""),
 parts,SPLIT(TRIM(text),"" ""),
 VALUE(INDEX(parts,1)) + VALUE(INDEX(parts,2))/60 + VALUE(INDEX(parts,3))/3600
)
"),359.99666666666667)</f>
        <v>359.9966667</v>
      </c>
      <c r="H20" s="18"/>
      <c r="I20" s="18"/>
    </row>
    <row r="21" ht="14.25" customHeight="1">
      <c r="A21" s="9"/>
      <c r="B21" s="19" t="s">
        <v>15</v>
      </c>
      <c r="C21" s="9"/>
      <c r="D21" s="14" t="s">
        <v>28</v>
      </c>
      <c r="E21" s="20"/>
      <c r="F21" s="14">
        <f>IFERROR(__xludf.DUMMYFUNCTION("LET(
 text,SUBSTITUTE(SUBSTITUTE(SUBSTITUTE(D21,""°"","" ""),""'"", "" ""),"""""""","" ""),
 parts,SPLIT(TRIM(text),"" ""),
 VALUE(INDEX(parts,1)) + VALUE(INDEX(parts,2))/60 + VALUE(INDEX(parts,3))/3600
)
"),0.0033333333333333335)</f>
        <v>0.003333333333</v>
      </c>
      <c r="H21" s="9"/>
      <c r="I21" s="9"/>
    </row>
    <row r="22" ht="14.25" customHeight="1">
      <c r="A22" s="21">
        <v>1.0</v>
      </c>
      <c r="B22" s="14">
        <v>5.0</v>
      </c>
      <c r="C22" s="15" t="s">
        <v>10</v>
      </c>
      <c r="D22" s="14" t="s">
        <v>11</v>
      </c>
      <c r="E22" s="16">
        <v>62.917</v>
      </c>
      <c r="F22" s="14">
        <f>IFERROR(__xludf.DUMMYFUNCTION("LET(
 text,SUBSTITUTE(SUBSTITUTE(SUBSTITUTE(D22,""°"","" ""),""'"", "" ""),"""""""","" ""),
 parts,SPLIT(TRIM(text),"" ""),
 VALUE(INDEX(parts,1)) + VALUE(INDEX(parts,2))/60 + VALUE(INDEX(parts,3))/3600
)
"),0.0)</f>
        <v>0</v>
      </c>
      <c r="G22" s="17">
        <f>F23- 75/(360* 3600)*F23</f>
        <v>99.54896095</v>
      </c>
      <c r="H22" s="15">
        <f>0.02527926205/5</f>
        <v>0.00505585241</v>
      </c>
      <c r="I22" s="15">
        <f>G22+H22</f>
        <v>99.55401681</v>
      </c>
    </row>
    <row r="23" ht="14.25" customHeight="1">
      <c r="A23" s="18"/>
      <c r="B23" s="14">
        <v>2.0</v>
      </c>
      <c r="C23" s="18"/>
      <c r="D23" s="14" t="s">
        <v>29</v>
      </c>
      <c r="E23" s="16">
        <v>89.184</v>
      </c>
      <c r="F23" s="14">
        <f>IFERROR(__xludf.DUMMYFUNCTION("LET(
 text,SUBSTITUTE(SUBSTITUTE(SUBSTITUTE(D23,""°"","" ""),""'"", "" ""),"""""""","" ""),
 parts,SPLIT(TRIM(text),"" ""),
 VALUE(INDEX(parts,1)) + VALUE(INDEX(parts,2))/60 + VALUE(INDEX(parts,3))/3600
)
"),99.55472222222222)</f>
        <v>99.55472222</v>
      </c>
      <c r="H23" s="18"/>
      <c r="I23" s="18"/>
    </row>
    <row r="24" ht="14.25" customHeight="1">
      <c r="A24" s="18"/>
      <c r="B24" s="14" t="s">
        <v>30</v>
      </c>
      <c r="C24" s="18"/>
      <c r="D24" s="14" t="s">
        <v>31</v>
      </c>
      <c r="E24" s="16">
        <v>62.917</v>
      </c>
      <c r="F24" s="14">
        <f>IFERROR(__xludf.DUMMYFUNCTION("LET(
 text,SUBSTITUTE(SUBSTITUTE(SUBSTITUTE(D24,""°"","" ""),""'"", "" ""),"""""""","" ""),
 parts,SPLIT(TRIM(text),"" ""),
 VALUE(INDEX(parts,1)) + VALUE(INDEX(parts,2))/60 + VALUE(INDEX(parts,3))/3600
)
"),0.020833333333333332)</f>
        <v>0.02083333333</v>
      </c>
      <c r="H24" s="18"/>
      <c r="I24" s="18"/>
    </row>
    <row r="25" ht="14.25" customHeight="1">
      <c r="A25" s="9"/>
      <c r="B25" s="19" t="s">
        <v>15</v>
      </c>
      <c r="C25" s="9"/>
      <c r="D25" s="14" t="s">
        <v>31</v>
      </c>
      <c r="E25" s="20"/>
      <c r="F25" s="14">
        <f>IFERROR(__xludf.DUMMYFUNCTION("LET(
 text,SUBSTITUTE(SUBSTITUTE(SUBSTITUTE(D25,""°"","" ""),""'"", "" ""),"""""""","" ""),
 parts,SPLIT(TRIM(text),"" ""),
 VALUE(INDEX(parts,1)) + VALUE(INDEX(parts,2))/60 + VALUE(INDEX(parts,3))/3600
)
"),0.020833333333333332)</f>
        <v>0.02083333333</v>
      </c>
      <c r="H25" s="9"/>
      <c r="I25" s="9"/>
    </row>
    <row r="26" ht="14.25" customHeight="1">
      <c r="A26" s="22"/>
      <c r="B26" s="22"/>
      <c r="C26" s="22"/>
      <c r="D26" s="22"/>
      <c r="E26" s="22"/>
      <c r="F26" s="23" t="s">
        <v>32</v>
      </c>
      <c r="G26" s="24">
        <f t="shared" ref="G26:I26" si="1">sum(G6:G25)</f>
        <v>539.9747207</v>
      </c>
      <c r="H26" s="25">
        <f t="shared" si="1"/>
        <v>0.02527926205</v>
      </c>
      <c r="I26" s="25">
        <f t="shared" si="1"/>
        <v>540</v>
      </c>
    </row>
    <row r="27" ht="27.0" customHeight="1">
      <c r="A27" s="22"/>
      <c r="F27" s="26" t="s">
        <v>33</v>
      </c>
      <c r="G27" s="27">
        <v>540.0</v>
      </c>
      <c r="H27" s="28"/>
      <c r="I27" s="28"/>
    </row>
    <row r="28" ht="14.25" customHeight="1">
      <c r="A28" s="22"/>
      <c r="F28" s="27" t="s">
        <v>34</v>
      </c>
      <c r="G28" s="24">
        <f>G26-G27</f>
        <v>-0.02527926205</v>
      </c>
      <c r="H28" s="28"/>
      <c r="I28" s="28"/>
    </row>
    <row r="29" ht="14.25" customHeight="1">
      <c r="F29" s="2" t="s">
        <v>35</v>
      </c>
      <c r="G29" s="29">
        <f>0.0252792620456148*3600</f>
        <v>91.00534336</v>
      </c>
    </row>
    <row r="30" ht="14.25" customHeight="1">
      <c r="B30" s="2" t="s">
        <v>36</v>
      </c>
      <c r="D30" s="2">
        <v>91.00534336</v>
      </c>
    </row>
    <row r="31" ht="14.25" customHeight="1"/>
    <row r="32" ht="14.25" customHeight="1">
      <c r="B32" s="30" t="s">
        <v>37</v>
      </c>
      <c r="C32" s="30" t="s">
        <v>38</v>
      </c>
      <c r="D32" s="2" t="s">
        <v>39</v>
      </c>
    </row>
    <row r="33" ht="14.25" customHeight="1">
      <c r="B33" s="31" t="s">
        <v>40</v>
      </c>
      <c r="C33" s="32">
        <v>6.0</v>
      </c>
      <c r="D33" s="33">
        <f t="shared" ref="D33:D35" si="2">C33*sqrt(5)</f>
        <v>13.41640786</v>
      </c>
    </row>
    <row r="34" ht="14.25" customHeight="1">
      <c r="B34" s="31" t="s">
        <v>41</v>
      </c>
      <c r="C34" s="32">
        <v>15.0</v>
      </c>
      <c r="D34" s="33">
        <f t="shared" si="2"/>
        <v>33.54101966</v>
      </c>
    </row>
    <row r="35" ht="14.25" customHeight="1">
      <c r="B35" s="31" t="s">
        <v>42</v>
      </c>
      <c r="C35" s="2">
        <v>30.0</v>
      </c>
      <c r="D35" s="33">
        <f t="shared" si="2"/>
        <v>67.08203932</v>
      </c>
      <c r="E35" s="2"/>
    </row>
    <row r="36" ht="14.25" customHeight="1"/>
    <row r="37" ht="14.25" customHeight="1">
      <c r="G37" s="1"/>
    </row>
    <row r="38" ht="14.25" customHeight="1">
      <c r="A38" s="34" t="s">
        <v>0</v>
      </c>
      <c r="B38" s="34" t="s">
        <v>43</v>
      </c>
      <c r="C38" s="34" t="s">
        <v>44</v>
      </c>
      <c r="D38" s="35" t="s">
        <v>45</v>
      </c>
      <c r="E38" s="34" t="s">
        <v>46</v>
      </c>
      <c r="F38" s="2"/>
      <c r="G38" s="2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ht="14.25" customHeight="1">
      <c r="A39" s="9"/>
      <c r="B39" s="9"/>
      <c r="C39" s="9"/>
      <c r="D39" s="9"/>
      <c r="E39" s="9"/>
      <c r="F39" s="2"/>
      <c r="G39" s="2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ht="14.25" customHeight="1">
      <c r="A40" s="37">
        <v>2.0</v>
      </c>
      <c r="B40" s="37">
        <v>3.0</v>
      </c>
      <c r="C40" s="37">
        <v>41.328</v>
      </c>
      <c r="D40" s="38">
        <v>81.83910351916151</v>
      </c>
      <c r="E40" s="39">
        <v>81.84415937157151</v>
      </c>
      <c r="F40" s="2"/>
      <c r="G40" s="2"/>
    </row>
    <row r="41" ht="14.25" customHeight="1">
      <c r="A41" s="18"/>
      <c r="B41" s="18"/>
      <c r="C41" s="18"/>
      <c r="D41" s="18"/>
      <c r="E41" s="18"/>
      <c r="F41" s="2"/>
      <c r="G41" s="2"/>
    </row>
    <row r="42" ht="14.25" customHeight="1">
      <c r="A42" s="18"/>
      <c r="B42" s="18"/>
      <c r="C42" s="18"/>
      <c r="D42" s="18"/>
      <c r="E42" s="18"/>
      <c r="F42" s="2"/>
      <c r="G42" s="2"/>
    </row>
    <row r="43" ht="14.25" customHeight="1">
      <c r="A43" s="9"/>
      <c r="B43" s="9"/>
      <c r="C43" s="9"/>
      <c r="D43" s="9"/>
      <c r="E43" s="9"/>
      <c r="F43" s="2"/>
      <c r="G43" s="2"/>
    </row>
    <row r="44" ht="14.25" customHeight="1">
      <c r="A44" s="37">
        <v>3.0</v>
      </c>
      <c r="B44" s="37">
        <v>4.0</v>
      </c>
      <c r="C44" s="37">
        <v>28.391</v>
      </c>
      <c r="D44" s="38">
        <v>186.33793133680555</v>
      </c>
      <c r="E44" s="39">
        <v>186.34298718921556</v>
      </c>
      <c r="F44" s="2"/>
      <c r="G44" s="2"/>
    </row>
    <row r="45" ht="14.25" customHeight="1">
      <c r="A45" s="18"/>
      <c r="B45" s="18"/>
      <c r="C45" s="18"/>
      <c r="D45" s="18"/>
      <c r="E45" s="18"/>
      <c r="F45" s="2"/>
      <c r="G45" s="2"/>
    </row>
    <row r="46" ht="14.25" customHeight="1">
      <c r="A46" s="18"/>
      <c r="B46" s="18"/>
      <c r="C46" s="18"/>
      <c r="D46" s="18"/>
      <c r="E46" s="18"/>
      <c r="F46" s="2"/>
      <c r="G46" s="2"/>
    </row>
    <row r="47" ht="14.25" customHeight="1">
      <c r="A47" s="9"/>
      <c r="B47" s="9"/>
      <c r="C47" s="9"/>
      <c r="D47" s="9"/>
      <c r="E47" s="9"/>
      <c r="F47" s="2"/>
      <c r="G47" s="2"/>
    </row>
    <row r="48" ht="14.25" customHeight="1">
      <c r="A48" s="37">
        <v>4.0</v>
      </c>
      <c r="B48" s="37">
        <v>5.0</v>
      </c>
      <c r="C48" s="37">
        <v>93.11</v>
      </c>
      <c r="D48" s="38">
        <v>87.32432748756858</v>
      </c>
      <c r="E48" s="39">
        <v>87.32938333997858</v>
      </c>
      <c r="F48" s="2"/>
      <c r="G48" s="2"/>
    </row>
    <row r="49" ht="14.25" customHeight="1">
      <c r="A49" s="18"/>
      <c r="B49" s="18"/>
      <c r="C49" s="18"/>
      <c r="D49" s="18"/>
      <c r="E49" s="18"/>
      <c r="F49" s="2"/>
      <c r="G49" s="2"/>
    </row>
    <row r="50" ht="14.25" customHeight="1">
      <c r="A50" s="18"/>
      <c r="B50" s="18"/>
      <c r="C50" s="18"/>
      <c r="D50" s="18"/>
      <c r="E50" s="18"/>
      <c r="F50" s="2"/>
      <c r="G50" s="2"/>
    </row>
    <row r="51" ht="14.25" customHeight="1">
      <c r="A51" s="9"/>
      <c r="B51" s="9"/>
      <c r="C51" s="9"/>
      <c r="D51" s="9"/>
      <c r="E51" s="9"/>
      <c r="F51" s="2"/>
      <c r="G51" s="2"/>
    </row>
    <row r="52" ht="14.25" customHeight="1">
      <c r="A52" s="37">
        <v>5.0</v>
      </c>
      <c r="B52" s="37">
        <v>1.0</v>
      </c>
      <c r="C52" s="37">
        <v>62.917</v>
      </c>
      <c r="D52" s="38">
        <v>84.92439744084362</v>
      </c>
      <c r="E52" s="39">
        <v>84.92945329325362</v>
      </c>
      <c r="F52" s="2"/>
      <c r="G52" s="2"/>
    </row>
    <row r="53" ht="14.25" customHeight="1">
      <c r="A53" s="18"/>
      <c r="B53" s="18"/>
      <c r="C53" s="18"/>
      <c r="D53" s="18"/>
      <c r="E53" s="18"/>
      <c r="F53" s="2"/>
      <c r="G53" s="2"/>
    </row>
    <row r="54" ht="14.25" customHeight="1">
      <c r="A54" s="18"/>
      <c r="B54" s="18"/>
      <c r="C54" s="18"/>
      <c r="D54" s="18"/>
      <c r="E54" s="18"/>
      <c r="F54" s="2"/>
      <c r="G54" s="2"/>
    </row>
    <row r="55" ht="14.25" customHeight="1">
      <c r="A55" s="9"/>
      <c r="B55" s="9"/>
      <c r="C55" s="9"/>
      <c r="D55" s="9"/>
      <c r="E55" s="9"/>
      <c r="F55" s="2"/>
      <c r="G55" s="2"/>
    </row>
    <row r="56" ht="14.25" customHeight="1">
      <c r="A56" s="37">
        <v>1.0</v>
      </c>
      <c r="B56" s="37">
        <v>2.0</v>
      </c>
      <c r="C56" s="37">
        <v>89.184</v>
      </c>
      <c r="D56" s="38">
        <v>99.5489609535751</v>
      </c>
      <c r="E56" s="39">
        <v>99.5540168059851</v>
      </c>
      <c r="F56" s="2"/>
      <c r="G56" s="2"/>
    </row>
    <row r="57" ht="14.25" customHeight="1">
      <c r="A57" s="18"/>
      <c r="B57" s="18"/>
      <c r="C57" s="18"/>
      <c r="D57" s="18"/>
      <c r="E57" s="18"/>
      <c r="F57" s="2"/>
      <c r="G57" s="2"/>
    </row>
    <row r="58" ht="14.25" customHeight="1">
      <c r="A58" s="18"/>
      <c r="B58" s="18"/>
      <c r="C58" s="18"/>
      <c r="D58" s="18"/>
      <c r="E58" s="18"/>
      <c r="F58" s="2"/>
      <c r="G58" s="2"/>
    </row>
    <row r="59" ht="14.25" customHeight="1">
      <c r="A59" s="9"/>
      <c r="B59" s="9"/>
      <c r="C59" s="9"/>
      <c r="D59" s="9"/>
      <c r="E59" s="9"/>
      <c r="F59" s="2"/>
      <c r="G59" s="2"/>
    </row>
    <row r="60" ht="14.25" customHeight="1">
      <c r="A60" s="40" t="s">
        <v>47</v>
      </c>
      <c r="B60" s="41"/>
      <c r="C60" s="41">
        <f t="shared" ref="C60:D60" si="3">SUM(C40:C59)</f>
        <v>314.93</v>
      </c>
      <c r="D60" s="42">
        <f t="shared" si="3"/>
        <v>539.9747207</v>
      </c>
      <c r="E60" s="43">
        <f>sum(E40:E59)</f>
        <v>540</v>
      </c>
    </row>
    <row r="61" ht="14.25" customHeight="1">
      <c r="B61" s="41" t="s">
        <v>48</v>
      </c>
      <c r="C61" s="41">
        <f>SUM(C41:C60)</f>
        <v>588.532</v>
      </c>
      <c r="G61" s="2"/>
    </row>
    <row r="62" ht="14.25" customHeight="1">
      <c r="F62" s="2"/>
      <c r="G62" s="2"/>
    </row>
    <row r="63" ht="14.25" customHeight="1"/>
    <row r="64" ht="14.25" customHeight="1"/>
    <row r="65" ht="14.25" customHeight="1"/>
    <row r="66" ht="14.25" customHeight="1"/>
    <row r="67" ht="14.25" customHeight="1">
      <c r="B67" s="8"/>
      <c r="C67" s="8"/>
      <c r="D67" s="8"/>
      <c r="E67" s="8"/>
      <c r="F67" s="8"/>
      <c r="G67" s="8"/>
      <c r="H67" s="8"/>
      <c r="I67" s="8"/>
      <c r="J67" s="8"/>
      <c r="K67" s="31"/>
      <c r="L67" s="8"/>
      <c r="M67" s="31"/>
    </row>
    <row r="68" ht="14.25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31"/>
      <c r="M68" s="31"/>
    </row>
    <row r="69" ht="14.25" customHeight="1">
      <c r="B69" s="8"/>
      <c r="C69" s="8"/>
      <c r="D69" s="31"/>
      <c r="E69" s="8"/>
      <c r="F69" s="31"/>
      <c r="G69" s="8"/>
      <c r="H69" s="8"/>
      <c r="I69" s="8"/>
      <c r="J69" s="8"/>
      <c r="K69" s="8"/>
      <c r="L69" s="31"/>
      <c r="M69" s="31"/>
    </row>
    <row r="70" ht="14.25" customHeight="1">
      <c r="B70" s="8"/>
      <c r="C70" s="8"/>
      <c r="D70" s="8"/>
      <c r="E70" s="8"/>
      <c r="F70" s="31"/>
      <c r="G70" s="8"/>
      <c r="H70" s="31"/>
      <c r="I70" s="8"/>
      <c r="J70" s="44"/>
      <c r="K70" s="8"/>
      <c r="L70" s="8"/>
      <c r="M70" s="8"/>
    </row>
    <row r="71" ht="14.25" customHeight="1">
      <c r="B71" s="8"/>
      <c r="C71" s="31"/>
      <c r="D71" s="8"/>
      <c r="E71" s="31"/>
      <c r="F71" s="31"/>
      <c r="G71" s="8"/>
      <c r="H71" s="8"/>
      <c r="I71" s="8"/>
      <c r="J71" s="31"/>
      <c r="K71" s="8"/>
      <c r="L71" s="8"/>
      <c r="M71" s="8"/>
    </row>
    <row r="72" ht="14.25" customHeight="1">
      <c r="B72" s="8"/>
      <c r="C72" s="31"/>
      <c r="D72" s="8"/>
      <c r="E72" s="31"/>
      <c r="F72" s="31"/>
      <c r="G72" s="8"/>
      <c r="H72" s="31"/>
      <c r="I72" s="8"/>
      <c r="J72" s="45"/>
      <c r="K72" s="8"/>
      <c r="L72" s="8"/>
      <c r="M72" s="8"/>
    </row>
    <row r="73" ht="14.25" customHeight="1">
      <c r="B73" s="8"/>
      <c r="C73" s="31"/>
      <c r="D73" s="8"/>
      <c r="E73" s="31"/>
      <c r="F73" s="31"/>
      <c r="G73" s="8"/>
      <c r="H73" s="8"/>
      <c r="I73" s="8"/>
      <c r="J73" s="8"/>
      <c r="K73" s="8"/>
      <c r="L73" s="8"/>
      <c r="M73" s="8"/>
    </row>
    <row r="74" ht="14.25" customHeight="1">
      <c r="B74" s="8"/>
      <c r="C74" s="31"/>
      <c r="D74" s="8"/>
      <c r="E74" s="31"/>
      <c r="F74" s="31"/>
      <c r="G74" s="8"/>
      <c r="H74" s="31"/>
      <c r="I74" s="31"/>
      <c r="J74" s="8"/>
      <c r="K74" s="8"/>
      <c r="L74" s="8"/>
      <c r="M74" s="8"/>
    </row>
    <row r="75" ht="14.25" customHeight="1">
      <c r="B75" s="8"/>
      <c r="C75" s="8"/>
      <c r="D75" s="8"/>
      <c r="E75" s="8"/>
      <c r="F75" s="8"/>
      <c r="G75" s="8"/>
      <c r="H75" s="31"/>
      <c r="I75" s="45"/>
      <c r="J75" s="8"/>
      <c r="K75" s="8"/>
      <c r="L75" s="8"/>
      <c r="M75" s="8"/>
    </row>
    <row r="76" ht="14.25" customHeight="1">
      <c r="B76" s="8"/>
      <c r="C76" s="8"/>
      <c r="D76" s="8"/>
      <c r="E76" s="8"/>
      <c r="F76" s="8"/>
      <c r="G76" s="8"/>
      <c r="H76" s="31"/>
      <c r="I76" s="45"/>
      <c r="J76" s="8"/>
      <c r="K76" s="8"/>
      <c r="L76" s="8"/>
      <c r="M76" s="8"/>
    </row>
    <row r="77" ht="14.25" customHeight="1">
      <c r="B77" s="8"/>
      <c r="C77" s="8"/>
      <c r="D77" s="8"/>
      <c r="E77" s="8"/>
      <c r="F77" s="8"/>
      <c r="G77" s="8"/>
      <c r="H77" s="31"/>
      <c r="I77" s="45"/>
      <c r="J77" s="8"/>
      <c r="K77" s="8"/>
      <c r="L77" s="8"/>
      <c r="M77" s="8"/>
    </row>
    <row r="78" ht="14.25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ht="14.25" customHeight="1"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O90" s="33">
        <v>81.83916666666666</v>
      </c>
    </row>
    <row r="91" ht="14.25" customHeight="1"/>
    <row r="92" ht="14.25" customHeight="1"/>
    <row r="93" ht="14.25" customHeight="1"/>
    <row r="94" ht="14.25" customHeight="1">
      <c r="O94" s="33">
        <v>186.33777777777777</v>
      </c>
    </row>
    <row r="95" ht="14.25" customHeight="1"/>
    <row r="96" ht="14.25" customHeight="1"/>
    <row r="97" ht="14.25" customHeight="1"/>
    <row r="98" ht="14.25" customHeight="1">
      <c r="O98" s="33">
        <v>87.32277777777777</v>
      </c>
    </row>
    <row r="99" ht="14.25" customHeight="1"/>
    <row r="100" ht="14.25" customHeight="1"/>
    <row r="101" ht="14.25" customHeight="1"/>
    <row r="102" ht="14.25" customHeight="1">
      <c r="O102" s="33">
        <v>84.92361111111111</v>
      </c>
    </row>
    <row r="103" ht="14.25" customHeight="1"/>
    <row r="104" ht="14.25" customHeight="1"/>
    <row r="105" ht="14.25" customHeight="1">
      <c r="Q105" s="46" t="s">
        <v>12</v>
      </c>
    </row>
    <row r="106" ht="14.25" customHeight="1">
      <c r="O106" s="33">
        <v>99.55472222222222</v>
      </c>
      <c r="Q106" s="18"/>
    </row>
    <row r="107" ht="14.25" customHeight="1">
      <c r="Q107" s="18"/>
    </row>
    <row r="108" ht="14.25" customHeight="1">
      <c r="Q108" s="9"/>
    </row>
    <row r="109" ht="14.25" customHeight="1">
      <c r="Q109" s="46" t="s">
        <v>49</v>
      </c>
    </row>
    <row r="110" ht="14.25" customHeight="1">
      <c r="Q110" s="18"/>
    </row>
    <row r="111" ht="14.25" customHeight="1">
      <c r="Q111" s="18"/>
    </row>
    <row r="112" ht="14.25" customHeight="1">
      <c r="P112" s="47">
        <v>81.83916666666666</v>
      </c>
      <c r="Q112" s="9"/>
    </row>
    <row r="113" ht="14.25" customHeight="1">
      <c r="P113" s="18"/>
      <c r="Q113" s="46" t="s">
        <v>21</v>
      </c>
    </row>
    <row r="114" ht="14.25" customHeight="1">
      <c r="P114" s="18"/>
      <c r="Q114" s="18"/>
    </row>
    <row r="115" ht="14.25" customHeight="1">
      <c r="P115" s="9"/>
      <c r="Q115" s="18"/>
    </row>
    <row r="116" ht="14.25" customHeight="1">
      <c r="P116" s="47">
        <v>186.33777777777777</v>
      </c>
      <c r="Q116" s="9"/>
    </row>
    <row r="117" ht="14.25" customHeight="1">
      <c r="P117" s="18"/>
      <c r="Q117" s="46" t="s">
        <v>25</v>
      </c>
    </row>
    <row r="118" ht="14.25" customHeight="1">
      <c r="P118" s="18"/>
      <c r="Q118" s="18"/>
    </row>
    <row r="119" ht="14.25" customHeight="1">
      <c r="P119" s="9"/>
      <c r="Q119" s="18"/>
    </row>
    <row r="120" ht="14.25" customHeight="1">
      <c r="P120" s="47">
        <v>87.32277777777777</v>
      </c>
      <c r="Q120" s="9"/>
    </row>
    <row r="121" ht="14.25" customHeight="1">
      <c r="P121" s="18"/>
      <c r="Q121" s="46" t="s">
        <v>29</v>
      </c>
    </row>
    <row r="122" ht="14.25" customHeight="1">
      <c r="P122" s="18"/>
      <c r="Q122" s="18"/>
    </row>
    <row r="123" ht="14.25" customHeight="1">
      <c r="P123" s="9"/>
      <c r="Q123" s="18"/>
    </row>
    <row r="124" ht="14.25" customHeight="1">
      <c r="P124" s="47">
        <v>84.92361111111111</v>
      </c>
      <c r="Q124" s="9"/>
    </row>
    <row r="125" ht="14.25" customHeight="1">
      <c r="P125" s="18"/>
      <c r="Q125" s="2" t="s">
        <v>50</v>
      </c>
    </row>
    <row r="126" ht="14.25" customHeight="1">
      <c r="P126" s="18"/>
    </row>
    <row r="127" ht="14.25" customHeight="1">
      <c r="P127" s="9"/>
    </row>
    <row r="128" ht="14.25" customHeight="1">
      <c r="P128" s="47">
        <v>99.55472222222222</v>
      </c>
    </row>
    <row r="129" ht="14.25" customHeight="1">
      <c r="P129" s="18"/>
    </row>
    <row r="130" ht="14.25" customHeight="1">
      <c r="P130" s="18"/>
    </row>
    <row r="131" ht="14.25" customHeight="1">
      <c r="P131" s="9"/>
    </row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>
      <c r="P141" s="48" t="s">
        <v>51</v>
      </c>
    </row>
    <row r="142" ht="14.25" customHeight="1">
      <c r="P142" s="15">
        <v>81.83888888888887</v>
      </c>
    </row>
    <row r="143" ht="14.25" customHeight="1">
      <c r="P143" s="18"/>
    </row>
    <row r="144" ht="14.25" customHeight="1">
      <c r="P144" s="18"/>
    </row>
    <row r="145" ht="14.25" customHeight="1">
      <c r="P145" s="9"/>
    </row>
    <row r="146" ht="14.25" customHeight="1">
      <c r="P146" s="15">
        <v>186.33833333333334</v>
      </c>
    </row>
    <row r="147" ht="14.25" customHeight="1">
      <c r="P147" s="18"/>
    </row>
    <row r="148" ht="14.25" customHeight="1">
      <c r="P148" s="18"/>
    </row>
    <row r="149" ht="14.25" customHeight="1">
      <c r="P149" s="9"/>
    </row>
    <row r="150" ht="14.25" customHeight="1">
      <c r="P150" s="15">
        <v>87.31638888888888</v>
      </c>
    </row>
    <row r="151" ht="14.25" customHeight="1">
      <c r="P151" s="18"/>
    </row>
    <row r="152" ht="14.25" customHeight="1">
      <c r="P152" s="18"/>
    </row>
    <row r="153" ht="14.25" customHeight="1">
      <c r="P153" s="9"/>
    </row>
    <row r="154" ht="14.25" customHeight="1">
      <c r="P154" s="21">
        <v>84.92694444444444</v>
      </c>
    </row>
    <row r="155" ht="14.25" customHeight="1">
      <c r="P155" s="18"/>
    </row>
    <row r="156" ht="14.25" customHeight="1">
      <c r="P156" s="18"/>
    </row>
    <row r="157" ht="14.25" customHeight="1">
      <c r="P157" s="9"/>
    </row>
    <row r="158" ht="14.25" customHeight="1">
      <c r="P158" s="15">
        <v>99.5338888888889</v>
      </c>
    </row>
    <row r="159" ht="14.25" customHeight="1">
      <c r="P159" s="18"/>
    </row>
    <row r="160" ht="14.25" customHeight="1">
      <c r="P160" s="18"/>
    </row>
    <row r="161" ht="14.25" customHeight="1">
      <c r="P161" s="9"/>
    </row>
    <row r="162" ht="14.25" customHeight="1">
      <c r="P162" s="33">
        <f>sum(P142:P161)</f>
        <v>539.9544444</v>
      </c>
    </row>
    <row r="163" ht="14.25" customHeight="1"/>
    <row r="164" ht="14.25" customHeight="1">
      <c r="P164" s="2">
        <v>540.0</v>
      </c>
    </row>
    <row r="165" ht="14.25" customHeight="1">
      <c r="P165" s="33">
        <f>P162-P164</f>
        <v>-0.04555555556</v>
      </c>
    </row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mergeCells count="80">
    <mergeCell ref="D40:D43"/>
    <mergeCell ref="E40:E43"/>
    <mergeCell ref="D44:D47"/>
    <mergeCell ref="E44:E47"/>
    <mergeCell ref="D48:D51"/>
    <mergeCell ref="E48:E51"/>
    <mergeCell ref="B40:B43"/>
    <mergeCell ref="C40:C43"/>
    <mergeCell ref="A44:A47"/>
    <mergeCell ref="B44:B47"/>
    <mergeCell ref="C44:C47"/>
    <mergeCell ref="B48:B51"/>
    <mergeCell ref="C48:C51"/>
    <mergeCell ref="A48:A51"/>
    <mergeCell ref="A52:A55"/>
    <mergeCell ref="B52:B55"/>
    <mergeCell ref="C52:C55"/>
    <mergeCell ref="D52:D55"/>
    <mergeCell ref="E52:E55"/>
    <mergeCell ref="A56:A59"/>
    <mergeCell ref="D56:D59"/>
    <mergeCell ref="E56:E59"/>
    <mergeCell ref="O90:O93"/>
    <mergeCell ref="O94:O97"/>
    <mergeCell ref="O98:O101"/>
    <mergeCell ref="O102:O105"/>
    <mergeCell ref="O106:O109"/>
    <mergeCell ref="P120:P123"/>
    <mergeCell ref="P124:P127"/>
    <mergeCell ref="P128:P131"/>
    <mergeCell ref="P142:P145"/>
    <mergeCell ref="P146:P149"/>
    <mergeCell ref="P150:P153"/>
    <mergeCell ref="P154:P157"/>
    <mergeCell ref="P158:P161"/>
    <mergeCell ref="Q105:Q108"/>
    <mergeCell ref="Q109:Q112"/>
    <mergeCell ref="P112:P115"/>
    <mergeCell ref="Q113:Q116"/>
    <mergeCell ref="P116:P119"/>
    <mergeCell ref="Q117:Q120"/>
    <mergeCell ref="Q121:Q124"/>
    <mergeCell ref="H6:H9"/>
    <mergeCell ref="I6:I9"/>
    <mergeCell ref="A4:A5"/>
    <mergeCell ref="B4:B5"/>
    <mergeCell ref="C4:C5"/>
    <mergeCell ref="D4:I4"/>
    <mergeCell ref="A6:A9"/>
    <mergeCell ref="G6:G9"/>
    <mergeCell ref="A10:A13"/>
    <mergeCell ref="I10:I13"/>
    <mergeCell ref="G18:G21"/>
    <mergeCell ref="G22:G25"/>
    <mergeCell ref="H22:H25"/>
    <mergeCell ref="I22:I25"/>
    <mergeCell ref="G10:G13"/>
    <mergeCell ref="H10:H13"/>
    <mergeCell ref="G14:G17"/>
    <mergeCell ref="H14:H17"/>
    <mergeCell ref="I14:I17"/>
    <mergeCell ref="H18:H21"/>
    <mergeCell ref="I18:I21"/>
    <mergeCell ref="C6:C9"/>
    <mergeCell ref="C10:C13"/>
    <mergeCell ref="A14:A17"/>
    <mergeCell ref="C14:C17"/>
    <mergeCell ref="A18:A21"/>
    <mergeCell ref="C18:C21"/>
    <mergeCell ref="C22:C25"/>
    <mergeCell ref="A22:A25"/>
    <mergeCell ref="A38:A39"/>
    <mergeCell ref="B38:B39"/>
    <mergeCell ref="C38:C39"/>
    <mergeCell ref="D38:D39"/>
    <mergeCell ref="E38:E39"/>
    <mergeCell ref="A40:A43"/>
    <mergeCell ref="B30:C30"/>
    <mergeCell ref="B56:B59"/>
    <mergeCell ref="C56:C59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2.38"/>
    <col customWidth="1" min="6" max="6" width="9.63"/>
    <col customWidth="1" min="7" max="8" width="12.63"/>
    <col customWidth="1" min="9" max="9" width="10.25"/>
    <col customWidth="1" min="10" max="11" width="12.63"/>
    <col customWidth="1" min="12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>
      <c r="C12" s="49" t="s">
        <v>52</v>
      </c>
      <c r="D12" s="49" t="s">
        <v>53</v>
      </c>
      <c r="E12" s="49" t="s">
        <v>54</v>
      </c>
      <c r="F12" s="50" t="s">
        <v>55</v>
      </c>
      <c r="G12" s="6"/>
      <c r="H12" s="51"/>
      <c r="I12" s="50" t="s">
        <v>56</v>
      </c>
      <c r="J12" s="6"/>
      <c r="K12" s="51"/>
    </row>
    <row r="13" ht="14.25" customHeight="1">
      <c r="C13" s="9"/>
      <c r="D13" s="9"/>
      <c r="E13" s="9"/>
      <c r="F13" s="52" t="s">
        <v>57</v>
      </c>
      <c r="G13" s="53" t="s">
        <v>58</v>
      </c>
      <c r="H13" s="52" t="s">
        <v>59</v>
      </c>
      <c r="I13" s="52" t="s">
        <v>57</v>
      </c>
      <c r="J13" s="52" t="s">
        <v>58</v>
      </c>
      <c r="K13" s="52" t="s">
        <v>59</v>
      </c>
    </row>
    <row r="14" ht="14.25" customHeight="1">
      <c r="C14" s="54" t="s">
        <v>60</v>
      </c>
      <c r="D14" s="54" t="s">
        <v>61</v>
      </c>
      <c r="E14" s="54">
        <v>53.685</v>
      </c>
      <c r="F14" s="54">
        <v>53.58</v>
      </c>
      <c r="G14" s="54">
        <f t="shared" ref="G14:G18" si="1">(E14/179.857)*(-2.492)</f>
        <v>-0.7438299316</v>
      </c>
      <c r="H14" s="54">
        <f t="shared" ref="H14:H18" si="2">F14-G14</f>
        <v>54.32382993</v>
      </c>
      <c r="I14" s="54">
        <v>3.27</v>
      </c>
      <c r="J14" s="54">
        <f t="shared" ref="J14:J18" si="3">(E14/179.857)*(-0.09)</f>
        <v>-0.02686384183</v>
      </c>
      <c r="K14" s="54">
        <f t="shared" ref="K14:K18" si="4">I14-J14</f>
        <v>3.296863842</v>
      </c>
    </row>
    <row r="15" ht="14.25" customHeight="1">
      <c r="C15" s="54" t="s">
        <v>62</v>
      </c>
      <c r="D15" s="54" t="s">
        <v>63</v>
      </c>
      <c r="E15" s="54">
        <v>38.739</v>
      </c>
      <c r="F15" s="54">
        <v>-13.66</v>
      </c>
      <c r="G15" s="54">
        <f t="shared" si="1"/>
        <v>-0.5367463485</v>
      </c>
      <c r="H15" s="54">
        <f t="shared" si="2"/>
        <v>-13.12325365</v>
      </c>
      <c r="I15" s="54">
        <v>-36.24</v>
      </c>
      <c r="J15" s="54">
        <f t="shared" si="3"/>
        <v>-0.01938490023</v>
      </c>
      <c r="K15" s="54">
        <f t="shared" si="4"/>
        <v>-36.2206151</v>
      </c>
    </row>
    <row r="16" ht="14.25" customHeight="1">
      <c r="C16" s="54" t="s">
        <v>64</v>
      </c>
      <c r="D16" s="54" t="s">
        <v>65</v>
      </c>
      <c r="E16" s="54">
        <v>23.372</v>
      </c>
      <c r="F16" s="54">
        <v>-17.88</v>
      </c>
      <c r="G16" s="54">
        <f t="shared" si="1"/>
        <v>-0.3238296202</v>
      </c>
      <c r="H16" s="54">
        <f t="shared" si="2"/>
        <v>-17.55617038</v>
      </c>
      <c r="I16" s="54">
        <v>-15.05</v>
      </c>
      <c r="J16" s="54">
        <f t="shared" si="3"/>
        <v>-0.01169529126</v>
      </c>
      <c r="K16" s="54">
        <f t="shared" si="4"/>
        <v>-15.03830471</v>
      </c>
    </row>
    <row r="17" ht="14.25" customHeight="1">
      <c r="C17" s="54" t="s">
        <v>66</v>
      </c>
      <c r="D17" s="54" t="s">
        <v>67</v>
      </c>
      <c r="E17" s="54">
        <v>26.436</v>
      </c>
      <c r="F17" s="54">
        <v>-24.31</v>
      </c>
      <c r="G17" s="54">
        <f t="shared" si="1"/>
        <v>-0.3662827246</v>
      </c>
      <c r="H17" s="54">
        <f t="shared" si="2"/>
        <v>-23.94371728</v>
      </c>
      <c r="I17" s="54">
        <v>10.38</v>
      </c>
      <c r="J17" s="54">
        <f t="shared" si="3"/>
        <v>-0.01322850932</v>
      </c>
      <c r="K17" s="54">
        <f t="shared" si="4"/>
        <v>10.39322851</v>
      </c>
    </row>
    <row r="18" ht="14.25" customHeight="1">
      <c r="C18" s="54" t="s">
        <v>68</v>
      </c>
      <c r="D18" s="54" t="s">
        <v>69</v>
      </c>
      <c r="E18" s="54">
        <v>37.625</v>
      </c>
      <c r="F18" s="54">
        <v>-0.222</v>
      </c>
      <c r="G18" s="54">
        <f t="shared" si="1"/>
        <v>-0.5213113751</v>
      </c>
      <c r="H18" s="54">
        <f t="shared" si="2"/>
        <v>0.2993113751</v>
      </c>
      <c r="I18" s="54">
        <v>37.55</v>
      </c>
      <c r="J18" s="54">
        <f t="shared" si="3"/>
        <v>-0.01882745737</v>
      </c>
      <c r="K18" s="54">
        <f t="shared" si="4"/>
        <v>37.56882746</v>
      </c>
    </row>
    <row r="19" ht="14.25" customHeight="1">
      <c r="C19" s="55"/>
      <c r="D19" s="55" t="s">
        <v>70</v>
      </c>
      <c r="E19" s="55">
        <f t="shared" ref="E19:F19" si="5">SUM(E14:E18)</f>
        <v>179.857</v>
      </c>
      <c r="F19" s="55">
        <f t="shared" si="5"/>
        <v>-2.492</v>
      </c>
      <c r="G19" s="55"/>
      <c r="H19" s="55"/>
      <c r="I19" s="55">
        <f>SUM(I14:I18)</f>
        <v>-0.09</v>
      </c>
      <c r="J19" s="55"/>
      <c r="K19" s="5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12:C13"/>
    <mergeCell ref="D12:D13"/>
    <mergeCell ref="E12:E13"/>
    <mergeCell ref="F12:H12"/>
    <mergeCell ref="I12:K12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2024-09-12T04:57:40Z</dcterms:created>
  <dc:creator>Ramji Yadav</dc:creator>
</cp:coreProperties>
</file>