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JmuCebUnoN5jC3lJ2Df9Q7bEC2URQF7G7fQ6WdQ+q4="/>
    </ext>
  </extLst>
</workbook>
</file>

<file path=xl/sharedStrings.xml><?xml version="1.0" encoding="utf-8"?>
<sst xmlns="http://schemas.openxmlformats.org/spreadsheetml/2006/main" count="56" uniqueCount="51">
  <si>
    <t>BS</t>
  </si>
  <si>
    <t>FS</t>
  </si>
  <si>
    <t>RISE</t>
  </si>
  <si>
    <t>FALL</t>
  </si>
  <si>
    <t>RL</t>
  </si>
  <si>
    <t>REMARK</t>
  </si>
  <si>
    <t>US(BS)</t>
  </si>
  <si>
    <t>LS(BS)</t>
  </si>
  <si>
    <t>US(FS)</t>
  </si>
  <si>
    <t>LS(FS)</t>
  </si>
  <si>
    <t xml:space="preserve">Distance (m)
= </t>
  </si>
  <si>
    <t>Cumulative Distance
(m)</t>
  </si>
  <si>
    <t>Correction(m)</t>
  </si>
  <si>
    <t>Adjusted RL(m)</t>
  </si>
  <si>
    <t>D1</t>
  </si>
  <si>
    <t>D2</t>
  </si>
  <si>
    <t>Total</t>
  </si>
  <si>
    <t>BM</t>
  </si>
  <si>
    <t>A</t>
  </si>
  <si>
    <t>CP-4</t>
  </si>
  <si>
    <t>CP4</t>
  </si>
  <si>
    <t>CP-3</t>
  </si>
  <si>
    <t>CP3</t>
  </si>
  <si>
    <t>CP-2</t>
  </si>
  <si>
    <t>CP2</t>
  </si>
  <si>
    <t xml:space="preserve">B </t>
  </si>
  <si>
    <t>CP-1</t>
  </si>
  <si>
    <t>CP1</t>
  </si>
  <si>
    <t>CP-5</t>
  </si>
  <si>
    <t>CP5</t>
  </si>
  <si>
    <t>D</t>
  </si>
  <si>
    <t>SUM</t>
  </si>
  <si>
    <t>LHS      =</t>
  </si>
  <si>
    <t>∑BS - ∑FS =</t>
  </si>
  <si>
    <t>error(m)</t>
  </si>
  <si>
    <t>Quality of work</t>
  </si>
  <si>
    <t>c</t>
  </si>
  <si>
    <t>RHS     =</t>
  </si>
  <si>
    <t>∑Rise - ∑Fall =</t>
  </si>
  <si>
    <t>correction(m)</t>
  </si>
  <si>
    <t>Misclosure=</t>
  </si>
  <si>
    <t>6mm</t>
  </si>
  <si>
    <t>ordinary</t>
  </si>
  <si>
    <t>Last RL - First RL =</t>
  </si>
  <si>
    <t>k(km)</t>
  </si>
  <si>
    <t>Rough</t>
  </si>
  <si>
    <t>E=c(k)^1/2</t>
  </si>
  <si>
    <t>Accurate</t>
  </si>
  <si>
    <t>Precise level</t>
  </si>
  <si>
    <t>Quality: Accurate!</t>
  </si>
  <si>
    <t>High 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</si>
</sst>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sz val="11.0"/>
      <color theme="0"/>
      <name val="Aptos Narrow"/>
    </font>
    <font>
      <b/>
      <sz val="12.0"/>
      <color theme="0"/>
      <name val="Times New Roman"/>
    </font>
    <font>
      <b/>
      <sz val="12.0"/>
      <color rgb="FFFFFFFF"/>
      <name val="Times New Roman"/>
    </font>
    <font/>
    <font>
      <sz val="11.0"/>
      <color theme="1"/>
      <name val="Arial"/>
    </font>
    <font>
      <sz val="12.0"/>
      <color theme="1"/>
      <name val="Times New Roman"/>
    </font>
    <font>
      <sz val="11.0"/>
      <color theme="1"/>
      <name val="Aptos Narrow"/>
    </font>
    <font>
      <b/>
      <sz val="11.0"/>
      <color rgb="FF000000"/>
      <name val="Arial"/>
    </font>
    <font>
      <color theme="1"/>
      <name val="Aptos Narrow"/>
      <scheme val="minor"/>
    </font>
    <font>
      <color theme="1"/>
      <name val="Arial"/>
    </font>
    <font>
      <b/>
      <color theme="1"/>
      <name val="Aptos Narrow"/>
      <scheme val="minor"/>
    </font>
    <font>
      <color rgb="FF000000"/>
      <name val="Aptos Narrow"/>
      <scheme val="minor"/>
    </font>
    <font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  <fill>
      <patternFill patternType="solid">
        <fgColor rgb="FF76A5AF"/>
        <bgColor rgb="FF76A5A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Alignment="1" applyBorder="1" applyFont="1">
      <alignment readingOrder="0"/>
    </xf>
    <xf borderId="2" fillId="2" fontId="2" numFmtId="0" xfId="0" applyAlignment="1" applyBorder="1" applyFon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5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shrinkToFit="0" wrapText="1"/>
    </xf>
    <xf borderId="6" fillId="0" fontId="4" numFmtId="0" xfId="0" applyBorder="1" applyFont="1"/>
    <xf borderId="1" fillId="3" fontId="5" numFmtId="0" xfId="0" applyAlignment="1" applyBorder="1" applyFill="1" applyFont="1">
      <alignment readingOrder="0"/>
    </xf>
    <xf borderId="1" fillId="3" fontId="6" numFmtId="0" xfId="0" applyAlignment="1" applyBorder="1" applyFont="1">
      <alignment readingOrder="0"/>
    </xf>
    <xf borderId="1" fillId="3" fontId="6" numFmtId="0" xfId="0" applyBorder="1" applyFont="1"/>
    <xf borderId="1" fillId="3" fontId="7" numFmtId="0" xfId="0" applyBorder="1" applyFont="1"/>
    <xf borderId="5" fillId="4" fontId="8" numFmtId="0" xfId="0" applyAlignment="1" applyBorder="1" applyFill="1" applyFont="1">
      <alignment readingOrder="0"/>
    </xf>
    <xf borderId="5" fillId="4" fontId="7" numFmtId="0" xfId="0" applyBorder="1" applyFont="1"/>
    <xf borderId="1" fillId="4" fontId="9" numFmtId="0" xfId="0" applyBorder="1" applyFont="1"/>
    <xf borderId="1" fillId="4" fontId="7" numFmtId="0" xfId="0" applyBorder="1" applyFont="1"/>
    <xf borderId="0" fillId="3" fontId="9" numFmtId="0" xfId="0" applyAlignment="1" applyFont="1">
      <alignment readingOrder="0"/>
    </xf>
    <xf borderId="0" fillId="3" fontId="9" numFmtId="0" xfId="0" applyFont="1"/>
    <xf borderId="0" fillId="3" fontId="7" numFmtId="0" xfId="0" applyAlignment="1" applyFont="1">
      <alignment readingOrder="0"/>
    </xf>
    <xf borderId="0" fillId="3" fontId="7" numFmtId="0" xfId="0" applyFont="1"/>
    <xf borderId="1" fillId="5" fontId="7" numFmtId="0" xfId="0" applyAlignment="1" applyBorder="1" applyFill="1" applyFont="1">
      <alignment vertical="bottom"/>
    </xf>
    <xf borderId="2" fillId="3" fontId="9" numFmtId="0" xfId="0" applyAlignment="1" applyBorder="1" applyFont="1">
      <alignment readingOrder="0"/>
    </xf>
    <xf borderId="1" fillId="3" fontId="9" numFmtId="0" xfId="0" applyBorder="1" applyFont="1"/>
    <xf borderId="4" fillId="5" fontId="5" numFmtId="0" xfId="0" applyAlignment="1" applyBorder="1" applyFont="1">
      <alignment readingOrder="0"/>
    </xf>
    <xf borderId="1" fillId="6" fontId="7" numFmtId="0" xfId="0" applyBorder="1" applyFill="1" applyFont="1"/>
    <xf borderId="0" fillId="7" fontId="10" numFmtId="0" xfId="0" applyAlignment="1" applyFill="1" applyFont="1">
      <alignment readingOrder="0"/>
    </xf>
    <xf borderId="0" fillId="7" fontId="9" numFmtId="0" xfId="0" applyFont="1"/>
    <xf borderId="0" fillId="8" fontId="11" numFmtId="0" xfId="0" applyAlignment="1" applyFill="1" applyFont="1">
      <alignment readingOrder="0"/>
    </xf>
    <xf borderId="0" fillId="8" fontId="9" numFmtId="0" xfId="0" applyAlignment="1" applyFont="1">
      <alignment readingOrder="0"/>
    </xf>
    <xf borderId="1" fillId="3" fontId="9" numFmtId="0" xfId="0" applyAlignment="1" applyBorder="1" applyFont="1">
      <alignment readingOrder="0"/>
    </xf>
    <xf borderId="1" fillId="6" fontId="5" numFmtId="0" xfId="0" applyAlignment="1" applyBorder="1" applyFont="1">
      <alignment readingOrder="0"/>
    </xf>
    <xf borderId="0" fillId="3" fontId="7" numFmtId="0" xfId="0" applyAlignment="1" applyFont="1">
      <alignment vertical="bottom"/>
    </xf>
    <xf borderId="1" fillId="4" fontId="10" numFmtId="0" xfId="0" applyAlignment="1" applyBorder="1" applyFont="1">
      <alignment readingOrder="0"/>
    </xf>
    <xf borderId="1" fillId="6" fontId="9" numFmtId="0" xfId="0" applyBorder="1" applyFont="1"/>
    <xf borderId="2" fillId="9" fontId="12" numFmtId="0" xfId="0" applyAlignment="1" applyBorder="1" applyFill="1" applyFont="1">
      <alignment horizontal="center" readingOrder="0"/>
    </xf>
    <xf borderId="0" fillId="0" fontId="7" numFmtId="0" xfId="0" applyFont="1"/>
    <xf borderId="0" fillId="0" fontId="13" numFmtId="0" xfId="0" applyFont="1"/>
    <xf borderId="0" fillId="0" fontId="9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0.63"/>
    <col customWidth="1" min="5" max="5" width="11.5"/>
    <col customWidth="1" min="6" max="6" width="12.88"/>
    <col customWidth="1" min="7" max="7" width="11.63"/>
    <col customWidth="1" min="8" max="8" width="8.0"/>
    <col customWidth="1" min="9" max="9" width="12.13"/>
    <col customWidth="1" min="10" max="11" width="8.63"/>
    <col customWidth="1" min="12" max="12" width="11.0"/>
    <col customWidth="1" min="13" max="13" width="10.25"/>
    <col customWidth="1" min="14" max="14" width="8.63"/>
    <col customWidth="1" min="15" max="15" width="20.5"/>
    <col customWidth="1" min="16" max="17" width="13.88"/>
    <col customWidth="1" min="18" max="25" width="8.63"/>
  </cols>
  <sheetData>
    <row r="1" ht="14.25" customHeight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" t="s">
        <v>10</v>
      </c>
      <c r="M1" s="5"/>
      <c r="N1" s="6"/>
      <c r="O1" s="7" t="s">
        <v>11</v>
      </c>
      <c r="P1" s="8" t="s">
        <v>12</v>
      </c>
      <c r="Q1" s="8" t="s">
        <v>13</v>
      </c>
    </row>
    <row r="2" ht="14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9" t="s">
        <v>14</v>
      </c>
      <c r="M2" s="9" t="s">
        <v>15</v>
      </c>
      <c r="N2" s="9" t="s">
        <v>16</v>
      </c>
      <c r="O2" s="10"/>
      <c r="P2" s="2"/>
      <c r="Q2" s="2"/>
    </row>
    <row r="3" ht="14.25" customHeight="1">
      <c r="A3" s="11" t="s">
        <v>17</v>
      </c>
      <c r="B3" s="12">
        <v>1.078</v>
      </c>
      <c r="C3" s="13"/>
      <c r="D3" s="13"/>
      <c r="E3" s="13"/>
      <c r="F3" s="13">
        <v>128.409</v>
      </c>
      <c r="G3" s="13" t="s">
        <v>17</v>
      </c>
      <c r="H3" s="12">
        <v>1.138</v>
      </c>
      <c r="I3" s="12">
        <v>1.018</v>
      </c>
      <c r="J3" s="12"/>
      <c r="K3" s="12"/>
      <c r="L3" s="14">
        <f t="shared" ref="L3:L11" si="1">(H3-I3)*100</f>
        <v>12</v>
      </c>
      <c r="M3" s="14"/>
      <c r="N3" s="14"/>
      <c r="O3" s="11">
        <v>0.0</v>
      </c>
      <c r="P3" s="12">
        <v>0.0</v>
      </c>
      <c r="Q3" s="12">
        <f t="shared" ref="Q3:Q12" si="2">F3+P3</f>
        <v>128.409</v>
      </c>
    </row>
    <row r="4" ht="14.25" customHeight="1">
      <c r="A4" s="11" t="s">
        <v>18</v>
      </c>
      <c r="B4" s="12">
        <v>1.468</v>
      </c>
      <c r="C4" s="12">
        <v>1.4</v>
      </c>
      <c r="D4" s="13"/>
      <c r="E4" s="12">
        <v>0.322</v>
      </c>
      <c r="F4" s="12">
        <v>128.087</v>
      </c>
      <c r="G4" s="13"/>
      <c r="H4" s="12">
        <v>1.558</v>
      </c>
      <c r="I4" s="12">
        <v>1.37</v>
      </c>
      <c r="J4" s="12">
        <v>1.433</v>
      </c>
      <c r="K4" s="12">
        <v>1.312</v>
      </c>
      <c r="L4" s="14">
        <f t="shared" si="1"/>
        <v>18.8</v>
      </c>
      <c r="M4" s="14">
        <f t="shared" ref="M4:M12" si="3">(J4-K4)*100</f>
        <v>12.1</v>
      </c>
      <c r="N4" s="14">
        <f t="shared" ref="N4:N12" si="4">(L3+M4)</f>
        <v>24.1</v>
      </c>
      <c r="O4" s="14">
        <f t="shared" ref="O4:O12" si="5">O3+N4</f>
        <v>24.1</v>
      </c>
      <c r="P4" s="12">
        <v>6.66666666663534E-4</v>
      </c>
      <c r="Q4" s="12">
        <f t="shared" si="2"/>
        <v>128.0876667</v>
      </c>
    </row>
    <row r="5" ht="14.25" customHeight="1">
      <c r="A5" s="11" t="s">
        <v>19</v>
      </c>
      <c r="B5" s="12">
        <v>1.3</v>
      </c>
      <c r="C5" s="12">
        <v>1.302</v>
      </c>
      <c r="D5" s="12">
        <v>0.166</v>
      </c>
      <c r="E5" s="13"/>
      <c r="F5" s="12">
        <v>128.253</v>
      </c>
      <c r="G5" s="12" t="s">
        <v>20</v>
      </c>
      <c r="H5" s="12">
        <v>1.369</v>
      </c>
      <c r="I5" s="12">
        <v>1.231</v>
      </c>
      <c r="J5" s="12">
        <v>1.413</v>
      </c>
      <c r="K5" s="12">
        <v>1.195</v>
      </c>
      <c r="L5" s="14">
        <f t="shared" si="1"/>
        <v>13.8</v>
      </c>
      <c r="M5" s="14">
        <f t="shared" si="3"/>
        <v>21.8</v>
      </c>
      <c r="N5" s="14">
        <f t="shared" si="4"/>
        <v>40.6</v>
      </c>
      <c r="O5" s="14">
        <f t="shared" si="5"/>
        <v>64.7</v>
      </c>
      <c r="P5" s="13">
        <f t="shared" ref="P5:P12" si="6">0.0006666666667+P4</f>
        <v>0.001333333333</v>
      </c>
      <c r="Q5" s="12">
        <f t="shared" si="2"/>
        <v>128.2543333</v>
      </c>
    </row>
    <row r="6" ht="14.25" customHeight="1">
      <c r="A6" s="11" t="s">
        <v>21</v>
      </c>
      <c r="B6" s="12">
        <v>1.431</v>
      </c>
      <c r="C6" s="12">
        <v>1.342</v>
      </c>
      <c r="D6" s="13"/>
      <c r="E6" s="12">
        <v>0.042</v>
      </c>
      <c r="F6" s="12">
        <v>128.211</v>
      </c>
      <c r="G6" s="12" t="s">
        <v>22</v>
      </c>
      <c r="H6" s="12">
        <v>1.519</v>
      </c>
      <c r="I6" s="12">
        <v>1.348</v>
      </c>
      <c r="J6" s="12">
        <v>1.414</v>
      </c>
      <c r="K6" s="12">
        <v>1.273</v>
      </c>
      <c r="L6" s="14">
        <f t="shared" si="1"/>
        <v>17.1</v>
      </c>
      <c r="M6" s="14">
        <f t="shared" si="3"/>
        <v>14.1</v>
      </c>
      <c r="N6" s="14">
        <f t="shared" si="4"/>
        <v>27.9</v>
      </c>
      <c r="O6" s="14">
        <f t="shared" si="5"/>
        <v>92.6</v>
      </c>
      <c r="P6" s="13">
        <f t="shared" si="6"/>
        <v>0.002</v>
      </c>
      <c r="Q6" s="12">
        <f t="shared" si="2"/>
        <v>128.213</v>
      </c>
    </row>
    <row r="7" ht="14.25" customHeight="1">
      <c r="A7" s="11" t="s">
        <v>23</v>
      </c>
      <c r="B7" s="12">
        <v>1.333</v>
      </c>
      <c r="C7" s="12">
        <v>1.482</v>
      </c>
      <c r="D7" s="13"/>
      <c r="E7" s="12">
        <v>0.051</v>
      </c>
      <c r="F7" s="13">
        <v>128.16</v>
      </c>
      <c r="G7" s="12" t="s">
        <v>24</v>
      </c>
      <c r="H7" s="12">
        <v>1.465</v>
      </c>
      <c r="I7" s="12">
        <v>1.21</v>
      </c>
      <c r="J7" s="12">
        <v>1.604</v>
      </c>
      <c r="K7" s="12">
        <v>1.365</v>
      </c>
      <c r="L7" s="14">
        <f t="shared" si="1"/>
        <v>25.5</v>
      </c>
      <c r="M7" s="14">
        <f t="shared" si="3"/>
        <v>23.9</v>
      </c>
      <c r="N7" s="14">
        <f t="shared" si="4"/>
        <v>41</v>
      </c>
      <c r="O7" s="14">
        <f t="shared" si="5"/>
        <v>133.6</v>
      </c>
      <c r="P7" s="13">
        <f t="shared" si="6"/>
        <v>0.002666666667</v>
      </c>
      <c r="Q7" s="12">
        <f t="shared" si="2"/>
        <v>128.1626667</v>
      </c>
    </row>
    <row r="8" ht="14.25" customHeight="1">
      <c r="A8" s="11" t="s">
        <v>25</v>
      </c>
      <c r="B8" s="12">
        <v>1.312</v>
      </c>
      <c r="C8" s="12">
        <v>1.445</v>
      </c>
      <c r="D8" s="13"/>
      <c r="E8" s="12">
        <v>0.112</v>
      </c>
      <c r="F8" s="13">
        <v>128.048</v>
      </c>
      <c r="G8" s="13"/>
      <c r="H8" s="12">
        <v>1.419</v>
      </c>
      <c r="I8" s="12">
        <v>1.205</v>
      </c>
      <c r="J8" s="12">
        <v>1.565</v>
      </c>
      <c r="K8" s="12">
        <v>1.325</v>
      </c>
      <c r="L8" s="14">
        <f t="shared" si="1"/>
        <v>21.4</v>
      </c>
      <c r="M8" s="14">
        <f t="shared" si="3"/>
        <v>24</v>
      </c>
      <c r="N8" s="14">
        <f t="shared" si="4"/>
        <v>49.5</v>
      </c>
      <c r="O8" s="14">
        <f t="shared" si="5"/>
        <v>183.1</v>
      </c>
      <c r="P8" s="13">
        <f t="shared" si="6"/>
        <v>0.003333333333</v>
      </c>
      <c r="Q8" s="12">
        <f t="shared" si="2"/>
        <v>128.0513333</v>
      </c>
    </row>
    <row r="9" ht="14.25" customHeight="1">
      <c r="A9" s="11" t="s">
        <v>26</v>
      </c>
      <c r="B9" s="12">
        <v>1.325</v>
      </c>
      <c r="C9" s="12">
        <v>1.315</v>
      </c>
      <c r="D9" s="13"/>
      <c r="E9" s="12">
        <v>0.003</v>
      </c>
      <c r="F9" s="13">
        <v>128.04500000000002</v>
      </c>
      <c r="G9" s="12" t="s">
        <v>27</v>
      </c>
      <c r="H9" s="12">
        <v>1.491</v>
      </c>
      <c r="I9" s="12">
        <v>1.159</v>
      </c>
      <c r="J9" s="12">
        <v>1.424</v>
      </c>
      <c r="K9" s="12">
        <v>1.205</v>
      </c>
      <c r="L9" s="14">
        <f t="shared" si="1"/>
        <v>33.2</v>
      </c>
      <c r="M9" s="14">
        <f t="shared" si="3"/>
        <v>21.9</v>
      </c>
      <c r="N9" s="14">
        <f t="shared" si="4"/>
        <v>43.3</v>
      </c>
      <c r="O9" s="14">
        <f t="shared" si="5"/>
        <v>226.4</v>
      </c>
      <c r="P9" s="13">
        <f t="shared" si="6"/>
        <v>0.004</v>
      </c>
      <c r="Q9" s="12">
        <f t="shared" si="2"/>
        <v>128.049</v>
      </c>
    </row>
    <row r="10" ht="14.25" customHeight="1">
      <c r="A10" s="11" t="s">
        <v>28</v>
      </c>
      <c r="B10" s="12">
        <v>1.384</v>
      </c>
      <c r="C10" s="12">
        <v>1.404</v>
      </c>
      <c r="D10" s="13"/>
      <c r="E10" s="12">
        <v>0.079</v>
      </c>
      <c r="F10" s="13">
        <v>127.96600000000002</v>
      </c>
      <c r="G10" s="12" t="s">
        <v>29</v>
      </c>
      <c r="H10" s="12">
        <v>1.465</v>
      </c>
      <c r="I10" s="12">
        <v>1.3</v>
      </c>
      <c r="J10" s="12">
        <v>1.55</v>
      </c>
      <c r="K10" s="12">
        <v>1.259</v>
      </c>
      <c r="L10" s="14">
        <f t="shared" si="1"/>
        <v>16.5</v>
      </c>
      <c r="M10" s="14">
        <f t="shared" si="3"/>
        <v>29.1</v>
      </c>
      <c r="N10" s="14">
        <f t="shared" si="4"/>
        <v>62.3</v>
      </c>
      <c r="O10" s="14">
        <f t="shared" si="5"/>
        <v>288.7</v>
      </c>
      <c r="P10" s="13">
        <f t="shared" si="6"/>
        <v>0.004666666667</v>
      </c>
      <c r="Q10" s="12">
        <f t="shared" si="2"/>
        <v>127.9706667</v>
      </c>
    </row>
    <row r="11" ht="14.25" customHeight="1">
      <c r="A11" s="11" t="s">
        <v>30</v>
      </c>
      <c r="B11" s="12">
        <v>1.37</v>
      </c>
      <c r="C11" s="12">
        <v>1.287</v>
      </c>
      <c r="D11" s="12">
        <v>0.097</v>
      </c>
      <c r="E11" s="13"/>
      <c r="F11" s="13">
        <v>128.06300000000002</v>
      </c>
      <c r="G11" s="13"/>
      <c r="H11" s="12">
        <v>1.405</v>
      </c>
      <c r="I11" s="12">
        <v>1.355</v>
      </c>
      <c r="J11" s="12">
        <v>1.372</v>
      </c>
      <c r="K11" s="12">
        <v>1.203</v>
      </c>
      <c r="L11" s="14">
        <f t="shared" si="1"/>
        <v>5</v>
      </c>
      <c r="M11" s="14">
        <f t="shared" si="3"/>
        <v>16.9</v>
      </c>
      <c r="N11" s="14">
        <f t="shared" si="4"/>
        <v>33.4</v>
      </c>
      <c r="O11" s="14">
        <f t="shared" si="5"/>
        <v>322.1</v>
      </c>
      <c r="P11" s="13">
        <f t="shared" si="6"/>
        <v>0.005333333334</v>
      </c>
      <c r="Q11" s="12">
        <f t="shared" si="2"/>
        <v>128.0683333</v>
      </c>
    </row>
    <row r="12" ht="14.25" customHeight="1">
      <c r="A12" s="11" t="s">
        <v>17</v>
      </c>
      <c r="B12" s="13"/>
      <c r="C12" s="12">
        <v>1.03</v>
      </c>
      <c r="D12" s="12">
        <v>0.34</v>
      </c>
      <c r="E12" s="13"/>
      <c r="F12" s="13">
        <v>128.40300000000002</v>
      </c>
      <c r="G12" s="12" t="s">
        <v>17</v>
      </c>
      <c r="H12" s="13"/>
      <c r="I12" s="13"/>
      <c r="J12" s="12">
        <v>1.089</v>
      </c>
      <c r="K12" s="12">
        <v>0.97</v>
      </c>
      <c r="L12" s="11"/>
      <c r="M12" s="14">
        <f t="shared" si="3"/>
        <v>11.9</v>
      </c>
      <c r="N12" s="14">
        <f t="shared" si="4"/>
        <v>16.9</v>
      </c>
      <c r="O12" s="14">
        <f t="shared" si="5"/>
        <v>339</v>
      </c>
      <c r="P12" s="13">
        <f t="shared" si="6"/>
        <v>0.006</v>
      </c>
      <c r="Q12" s="12">
        <f t="shared" si="2"/>
        <v>128.409</v>
      </c>
    </row>
    <row r="13" ht="14.25" customHeight="1">
      <c r="A13" s="15" t="s">
        <v>31</v>
      </c>
      <c r="B13" s="16">
        <f>sum(B3:B11)</f>
        <v>12.001</v>
      </c>
      <c r="C13" s="16">
        <f>SUM(C4:C12)</f>
        <v>12.007</v>
      </c>
      <c r="D13" s="16">
        <f>sum(D5:D12)</f>
        <v>0.603</v>
      </c>
      <c r="E13" s="17">
        <f>sum(E4:E12)</f>
        <v>0.609</v>
      </c>
      <c r="F13" s="18"/>
      <c r="G13" s="18"/>
      <c r="H13" s="18"/>
      <c r="I13" s="18"/>
      <c r="J13" s="18"/>
      <c r="K13" s="18"/>
      <c r="L13" s="18"/>
      <c r="M13" s="18"/>
      <c r="N13" s="18"/>
      <c r="O13" s="18">
        <f>O12</f>
        <v>339</v>
      </c>
      <c r="P13" s="18"/>
      <c r="Q13" s="18"/>
    </row>
    <row r="14" ht="14.25" customHeight="1">
      <c r="A14" s="19"/>
      <c r="B14" s="20"/>
      <c r="C14" s="20"/>
      <c r="D14" s="21"/>
      <c r="E14" s="22"/>
      <c r="F14" s="20"/>
      <c r="G14" s="20"/>
      <c r="H14" s="20"/>
      <c r="I14" s="22"/>
      <c r="J14" s="20"/>
      <c r="K14" s="20"/>
      <c r="L14" s="20"/>
      <c r="M14" s="20"/>
      <c r="N14" s="20"/>
      <c r="O14" s="20"/>
      <c r="P14" s="20"/>
      <c r="Q14" s="20"/>
    </row>
    <row r="15" ht="14.25" customHeight="1">
      <c r="A15" s="23" t="s">
        <v>32</v>
      </c>
      <c r="B15" s="24" t="s">
        <v>33</v>
      </c>
      <c r="C15" s="6"/>
      <c r="D15" s="25">
        <v>-0.005999999999998451</v>
      </c>
      <c r="E15" s="26" t="s">
        <v>34</v>
      </c>
      <c r="F15" s="27">
        <f>F12-F3</f>
        <v>-0.006</v>
      </c>
      <c r="G15" s="20"/>
      <c r="H15" s="20"/>
      <c r="I15" s="22"/>
      <c r="J15" s="28" t="s">
        <v>35</v>
      </c>
      <c r="L15" s="29" t="s">
        <v>36</v>
      </c>
      <c r="M15" s="20"/>
      <c r="N15" s="20"/>
      <c r="O15" s="20"/>
      <c r="P15" s="20"/>
      <c r="Q15" s="20"/>
    </row>
    <row r="16" ht="14.25" customHeight="1">
      <c r="A16" s="23" t="s">
        <v>37</v>
      </c>
      <c r="B16" s="24" t="s">
        <v>38</v>
      </c>
      <c r="C16" s="6"/>
      <c r="D16" s="25">
        <v>-0.006000000000000005</v>
      </c>
      <c r="E16" s="26" t="s">
        <v>39</v>
      </c>
      <c r="F16" s="27">
        <f>-F15</f>
        <v>0.006</v>
      </c>
      <c r="G16" s="30" t="s">
        <v>40</v>
      </c>
      <c r="H16" s="31" t="s">
        <v>41</v>
      </c>
      <c r="I16" s="21"/>
      <c r="J16" s="28" t="s">
        <v>42</v>
      </c>
      <c r="L16" s="29">
        <v>100.0</v>
      </c>
      <c r="M16" s="20"/>
      <c r="N16" s="20"/>
      <c r="O16" s="20"/>
      <c r="P16" s="20"/>
      <c r="Q16" s="20"/>
    </row>
    <row r="17" ht="14.25" customHeight="1">
      <c r="A17" s="23" t="s">
        <v>37</v>
      </c>
      <c r="B17" s="32" t="s">
        <v>43</v>
      </c>
      <c r="C17" s="25"/>
      <c r="D17" s="25">
        <v>-0.005999999999971806</v>
      </c>
      <c r="E17" s="26" t="s">
        <v>44</v>
      </c>
      <c r="F17" s="33">
        <v>0.339</v>
      </c>
      <c r="G17" s="20"/>
      <c r="H17" s="20"/>
      <c r="I17" s="22"/>
      <c r="J17" s="28" t="s">
        <v>45</v>
      </c>
      <c r="L17" s="29">
        <v>24.0</v>
      </c>
      <c r="M17" s="20"/>
      <c r="N17" s="20"/>
      <c r="O17" s="20"/>
      <c r="P17" s="20"/>
      <c r="Q17" s="20"/>
    </row>
    <row r="18" ht="14.25" customHeight="1">
      <c r="A18" s="34"/>
      <c r="B18" s="19"/>
      <c r="C18" s="19"/>
      <c r="D18" s="20"/>
      <c r="E18" s="35" t="s">
        <v>46</v>
      </c>
      <c r="F18" s="36">
        <f>F19*(0.339)^(1/2)</f>
        <v>6</v>
      </c>
      <c r="G18" s="20"/>
      <c r="H18" s="20"/>
      <c r="I18" s="22"/>
      <c r="J18" s="28" t="s">
        <v>47</v>
      </c>
      <c r="L18" s="29">
        <v>12.0</v>
      </c>
      <c r="M18" s="20"/>
      <c r="N18" s="20"/>
      <c r="O18" s="20"/>
      <c r="P18" s="20"/>
      <c r="Q18" s="20"/>
    </row>
    <row r="19" ht="14.25" customHeight="1">
      <c r="A19" s="34"/>
      <c r="B19" s="19"/>
      <c r="C19" s="19"/>
      <c r="D19" s="20"/>
      <c r="E19" s="35" t="s">
        <v>36</v>
      </c>
      <c r="F19" s="36">
        <f>6/sqrt(F17)</f>
        <v>10.3050808</v>
      </c>
      <c r="G19" s="20"/>
      <c r="H19" s="20"/>
      <c r="I19" s="22"/>
      <c r="J19" s="28" t="s">
        <v>48</v>
      </c>
      <c r="L19" s="29">
        <v>4.0</v>
      </c>
      <c r="M19" s="20"/>
      <c r="N19" s="20"/>
      <c r="O19" s="20"/>
      <c r="P19" s="20"/>
      <c r="Q19" s="20"/>
    </row>
    <row r="20" ht="14.25" customHeight="1">
      <c r="A20" s="34"/>
      <c r="B20" s="19"/>
      <c r="C20" s="20"/>
      <c r="D20" s="20"/>
      <c r="E20" s="37" t="s">
        <v>49</v>
      </c>
      <c r="F20" s="6"/>
      <c r="G20" s="20"/>
      <c r="H20" s="20"/>
      <c r="I20" s="22"/>
      <c r="J20" s="28" t="s">
        <v>50</v>
      </c>
      <c r="L20" s="29">
        <v>1.0</v>
      </c>
      <c r="M20" s="20"/>
      <c r="N20" s="20"/>
      <c r="O20" s="20"/>
      <c r="P20" s="20"/>
      <c r="Q20" s="20"/>
    </row>
    <row r="21" ht="14.25" customHeight="1">
      <c r="I21" s="38"/>
    </row>
    <row r="22" ht="14.25" customHeight="1">
      <c r="I22" s="38"/>
    </row>
    <row r="23" ht="14.25" customHeight="1">
      <c r="D23" s="39"/>
      <c r="I23" s="38"/>
    </row>
    <row r="24" ht="14.25" customHeight="1">
      <c r="E24" s="40"/>
      <c r="F24" s="40"/>
      <c r="G24" s="41"/>
    </row>
    <row r="25" ht="14.25" customHeight="1"/>
    <row r="26" ht="14.25" customHeight="1">
      <c r="G26" s="39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11">
    <mergeCell ref="J18:K18"/>
    <mergeCell ref="J19:K19"/>
    <mergeCell ref="E20:F20"/>
    <mergeCell ref="J20:K20"/>
    <mergeCell ref="L1:N1"/>
    <mergeCell ref="O1:O2"/>
    <mergeCell ref="B15:C15"/>
    <mergeCell ref="J15:K15"/>
    <mergeCell ref="B16:C16"/>
    <mergeCell ref="J16:K16"/>
    <mergeCell ref="J17:K17"/>
  </mergeCells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2024-09-05T07:07:20Z</dcterms:created>
  <dc:creator>Ramji Yadav</dc:creator>
</cp:coreProperties>
</file>