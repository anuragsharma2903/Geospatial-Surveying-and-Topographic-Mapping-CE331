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4"/>
  </sheets>
  <definedNames/>
  <calcPr/>
</workbook>
</file>

<file path=xl/sharedStrings.xml><?xml version="1.0" encoding="utf-8"?>
<sst xmlns="http://schemas.openxmlformats.org/spreadsheetml/2006/main" count="44" uniqueCount="41">
  <si>
    <t>WCB</t>
  </si>
  <si>
    <t>Internal Angle</t>
  </si>
  <si>
    <t>Latitude</t>
  </si>
  <si>
    <t>Departure</t>
  </si>
  <si>
    <t>Line</t>
  </si>
  <si>
    <t>(in degrees)</t>
  </si>
  <si>
    <t>(in degree)</t>
  </si>
  <si>
    <t>Length(m)</t>
  </si>
  <si>
    <t>Calculated</t>
  </si>
  <si>
    <t xml:space="preserve"> Correction</t>
  </si>
  <si>
    <t xml:space="preserve">Corrected </t>
  </si>
  <si>
    <t>Corrected</t>
  </si>
  <si>
    <t>sum---&gt;</t>
  </si>
  <si>
    <t>Relative Precision</t>
  </si>
  <si>
    <t>linear misclosure</t>
  </si>
  <si>
    <t>Angle Misclosure(in seconds)</t>
  </si>
  <si>
    <t>theta(in rad)</t>
  </si>
  <si>
    <t>Quality of Traverse for distances</t>
  </si>
  <si>
    <t>1:6300</t>
  </si>
  <si>
    <t>theta(in deg)</t>
  </si>
  <si>
    <t>Quality of work</t>
  </si>
  <si>
    <t>c</t>
  </si>
  <si>
    <t>Permissible limit of closing error</t>
  </si>
  <si>
    <t>First Order</t>
  </si>
  <si>
    <t>Permissible limit of relative precision</t>
  </si>
  <si>
    <t>Second Order</t>
  </si>
  <si>
    <t>First order</t>
  </si>
  <si>
    <t>1:25000</t>
  </si>
  <si>
    <t>Third Order</t>
  </si>
  <si>
    <t>Second order</t>
  </si>
  <si>
    <t>1:10000</t>
  </si>
  <si>
    <t>Third order</t>
  </si>
  <si>
    <t>1:5000</t>
  </si>
  <si>
    <t>CP</t>
  </si>
  <si>
    <t>Easting</t>
  </si>
  <si>
    <t>Northing</t>
  </si>
  <si>
    <t>CP1</t>
  </si>
  <si>
    <t>CP2</t>
  </si>
  <si>
    <t>CP3</t>
  </si>
  <si>
    <t>CP4</t>
  </si>
  <si>
    <t>CP5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</si>
</sst>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2">
    <font>
      <sz val="10.0"/>
      <color rgb="FF000000"/>
      <name val="Arial"/>
      <scheme val="minor"/>
    </font>
    <font>
      <b/>
      <sz val="14.0"/>
      <color rgb="FFFFFFFF"/>
      <name val="Arial"/>
    </font>
    <font/>
    <font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b/>
      <sz val="14.0"/>
      <color theme="1"/>
      <name val="Arial"/>
      <scheme val="minor"/>
    </font>
    <font>
      <sz val="14.0"/>
      <color rgb="FFFFFFFF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b/>
      <sz val="14.0"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theme="4"/>
        <bgColor theme="4"/>
      </patternFill>
    </fill>
  </fills>
  <borders count="7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2" fillId="2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0" fillId="3" fontId="3" numFmtId="0" xfId="0" applyAlignment="1" applyFont="1">
      <alignment readingOrder="0" vertical="bottom"/>
    </xf>
    <xf borderId="0" fillId="0" fontId="4" numFmtId="0" xfId="0" applyFont="1"/>
    <xf borderId="0" fillId="4" fontId="5" numFmtId="0" xfId="0" applyAlignment="1" applyFill="1" applyFont="1">
      <alignment vertical="bottom"/>
    </xf>
    <xf borderId="0" fillId="4" fontId="6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0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5" fillId="0" fontId="4" numFmtId="0" xfId="0" applyBorder="1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quotePrefix="1" borderId="5" fillId="0" fontId="4" numFmtId="0" xfId="0" applyAlignment="1" applyBorder="1" applyFont="1">
      <alignment readingOrder="0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6" fillId="5" fontId="1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4.88"/>
    <col customWidth="1" min="3" max="3" width="18.0"/>
    <col customWidth="1" min="4" max="4" width="21.38"/>
    <col customWidth="1" min="5" max="5" width="28.38"/>
    <col customWidth="1" min="6" max="6" width="22.63"/>
    <col customWidth="1" min="7" max="7" width="27.25"/>
    <col customWidth="1" min="8" max="8" width="24.0"/>
    <col customWidth="1" min="9" max="9" width="21.5"/>
    <col customWidth="1" min="10" max="10" width="25.13"/>
    <col customWidth="1" min="11" max="11" width="16.5"/>
    <col customWidth="1" min="23" max="23" width="17.63"/>
  </cols>
  <sheetData>
    <row r="2">
      <c r="A2" s="1"/>
      <c r="B2" s="1" t="s">
        <v>0</v>
      </c>
      <c r="C2" s="2" t="s">
        <v>1</v>
      </c>
      <c r="D2" s="1"/>
      <c r="E2" s="3" t="s">
        <v>2</v>
      </c>
      <c r="F2" s="4"/>
      <c r="G2" s="5"/>
      <c r="H2" s="3" t="s">
        <v>3</v>
      </c>
      <c r="I2" s="4"/>
      <c r="J2" s="5"/>
    </row>
    <row r="3">
      <c r="A3" s="1" t="s">
        <v>4</v>
      </c>
      <c r="B3" s="2" t="s">
        <v>5</v>
      </c>
      <c r="C3" s="6" t="s">
        <v>6</v>
      </c>
      <c r="D3" s="7" t="s">
        <v>7</v>
      </c>
      <c r="E3" s="6" t="s">
        <v>8</v>
      </c>
      <c r="F3" s="6" t="s">
        <v>9</v>
      </c>
      <c r="G3" s="6" t="s">
        <v>10</v>
      </c>
      <c r="H3" s="6" t="s">
        <v>8</v>
      </c>
      <c r="I3" s="6" t="s">
        <v>9</v>
      </c>
      <c r="J3" s="6" t="s">
        <v>11</v>
      </c>
    </row>
    <row r="4">
      <c r="A4" s="8"/>
      <c r="B4" s="8"/>
      <c r="C4" s="8"/>
      <c r="D4" s="8"/>
      <c r="E4" s="9"/>
      <c r="F4" s="10"/>
      <c r="G4" s="9"/>
      <c r="I4" s="8"/>
      <c r="J4" s="8"/>
    </row>
    <row r="5">
      <c r="A5" s="11">
        <v>45659.0</v>
      </c>
      <c r="B5" s="12">
        <v>183.55401681</v>
      </c>
      <c r="C5" s="12">
        <v>99.55401681</v>
      </c>
      <c r="D5" s="12">
        <v>89.184</v>
      </c>
      <c r="E5" s="9">
        <f t="shared" ref="E5:E9" si="1">G5-F5</f>
        <v>5.517541</v>
      </c>
      <c r="F5" s="13">
        <v>0.010933</v>
      </c>
      <c r="G5" s="13">
        <v>5.528474</v>
      </c>
      <c r="H5" s="8">
        <f t="shared" ref="H5:H9" si="2">J5-I5</f>
        <v>89.02134547</v>
      </c>
      <c r="I5" s="12">
        <v>-0.00899437</v>
      </c>
      <c r="J5" s="14">
        <v>89.01235109999999</v>
      </c>
    </row>
    <row r="6">
      <c r="A6" s="11">
        <v>45691.0</v>
      </c>
      <c r="B6" s="12">
        <v>265.39817617</v>
      </c>
      <c r="C6" s="12">
        <v>81.84415937</v>
      </c>
      <c r="D6" s="12">
        <v>41.328</v>
      </c>
      <c r="E6" s="9">
        <f t="shared" si="1"/>
        <v>-41.199838</v>
      </c>
      <c r="F6" s="13">
        <v>0.005066</v>
      </c>
      <c r="G6" s="13">
        <v>-41.194772</v>
      </c>
      <c r="H6" s="8">
        <f t="shared" si="2"/>
        <v>-3.31166419</v>
      </c>
      <c r="I6" s="12">
        <v>-0.0041680048472</v>
      </c>
      <c r="J6" s="14">
        <v>-3.3158321951528</v>
      </c>
    </row>
    <row r="7">
      <c r="A7" s="11">
        <v>45720.0</v>
      </c>
      <c r="B7" s="12">
        <v>271.74116338</v>
      </c>
      <c r="C7" s="12">
        <v>186.3429872</v>
      </c>
      <c r="D7" s="12">
        <v>28.391</v>
      </c>
      <c r="E7" s="9">
        <f t="shared" si="1"/>
        <v>-28.3813716</v>
      </c>
      <c r="F7" s="13">
        <v>0.00348</v>
      </c>
      <c r="G7" s="13">
        <v>-28.3778916</v>
      </c>
      <c r="H7" s="8">
        <f t="shared" si="2"/>
        <v>0.8659225692</v>
      </c>
      <c r="I7" s="12">
        <v>-0.002863284592</v>
      </c>
      <c r="J7" s="14">
        <v>0.8630592845920001</v>
      </c>
    </row>
    <row r="8">
      <c r="A8" s="11">
        <v>45752.0</v>
      </c>
      <c r="B8" s="12">
        <v>179.07054672</v>
      </c>
      <c r="C8" s="12">
        <v>87.32938334</v>
      </c>
      <c r="D8" s="12">
        <v>93.11</v>
      </c>
      <c r="E8" s="9">
        <f t="shared" si="1"/>
        <v>1.4990484</v>
      </c>
      <c r="F8" s="13">
        <v>0.011415</v>
      </c>
      <c r="G8" s="13">
        <v>1.5104634</v>
      </c>
      <c r="H8" s="8">
        <f t="shared" si="2"/>
        <v>-93.09449358</v>
      </c>
      <c r="I8" s="12">
        <v>-0.00939031</v>
      </c>
      <c r="J8" s="14">
        <v>-93.10388389</v>
      </c>
    </row>
    <row r="9">
      <c r="A9" s="11">
        <v>45778.0</v>
      </c>
      <c r="B9" s="12">
        <v>264.0</v>
      </c>
      <c r="C9" s="12">
        <v>84.92945329</v>
      </c>
      <c r="D9" s="12">
        <v>62.917</v>
      </c>
      <c r="E9" s="9">
        <f t="shared" si="1"/>
        <v>62.5260131</v>
      </c>
      <c r="F9" s="13">
        <v>0.0077131</v>
      </c>
      <c r="G9" s="13">
        <v>62.5337262</v>
      </c>
      <c r="H9" s="8">
        <f t="shared" si="2"/>
        <v>6.55065099</v>
      </c>
      <c r="I9" s="12">
        <v>-0.0063452952</v>
      </c>
      <c r="J9" s="14">
        <v>6.5443056952</v>
      </c>
    </row>
    <row r="10">
      <c r="A10" s="15"/>
      <c r="B10" s="16" t="s">
        <v>12</v>
      </c>
      <c r="C10" s="17"/>
      <c r="D10" s="17">
        <f>SUM(D5:D9)</f>
        <v>314.93</v>
      </c>
      <c r="E10" s="16">
        <v>0.0386071</v>
      </c>
      <c r="F10" s="17">
        <f>sum(F5,F6,F7,F8,F9)</f>
        <v>0.0386071</v>
      </c>
      <c r="G10" s="16">
        <v>0.0</v>
      </c>
      <c r="H10" s="16">
        <v>-0.03176127</v>
      </c>
      <c r="I10" s="16">
        <v>-0.03176127</v>
      </c>
      <c r="J10" s="16">
        <v>0.0</v>
      </c>
    </row>
    <row r="13">
      <c r="H13" s="8"/>
    </row>
    <row r="14">
      <c r="H14" s="18"/>
      <c r="I14" s="18"/>
      <c r="J14" s="18"/>
    </row>
    <row r="15">
      <c r="H15" s="19"/>
      <c r="I15" s="19"/>
      <c r="J15" s="19"/>
    </row>
    <row r="16">
      <c r="H16" s="20"/>
      <c r="I16" s="20"/>
      <c r="J16" s="20"/>
    </row>
    <row r="17">
      <c r="B17" s="21" t="s">
        <v>13</v>
      </c>
      <c r="C17" s="22">
        <f>F17/D10</f>
        <v>0.0001587427807</v>
      </c>
      <c r="E17" s="21" t="s">
        <v>14</v>
      </c>
      <c r="F17" s="21">
        <f>sqrt(power(H10,2)+power(E10,2))</f>
        <v>0.04999286391</v>
      </c>
      <c r="G17" s="23" t="s">
        <v>15</v>
      </c>
      <c r="I17" s="24">
        <v>91.00534336</v>
      </c>
    </row>
    <row r="18">
      <c r="B18" s="22"/>
      <c r="C18" s="21">
        <f>1/C17</f>
        <v>6299.499075</v>
      </c>
      <c r="E18" s="21" t="s">
        <v>16</v>
      </c>
      <c r="F18" s="21">
        <f>tanh(H10/E10)</f>
        <v>-0.676525642</v>
      </c>
      <c r="G18" s="25"/>
      <c r="H18" s="25"/>
      <c r="I18" s="25"/>
    </row>
    <row r="19">
      <c r="B19" s="21" t="s">
        <v>17</v>
      </c>
      <c r="C19" s="26" t="s">
        <v>18</v>
      </c>
      <c r="E19" s="21" t="s">
        <v>19</v>
      </c>
      <c r="F19" s="21">
        <f>F18*180/pi()</f>
        <v>-38.76206402</v>
      </c>
      <c r="G19" s="27" t="s">
        <v>20</v>
      </c>
      <c r="H19" s="27" t="s">
        <v>21</v>
      </c>
      <c r="I19" s="23" t="s">
        <v>22</v>
      </c>
    </row>
    <row r="20">
      <c r="G20" s="25" t="s">
        <v>23</v>
      </c>
      <c r="H20" s="24">
        <v>6.0</v>
      </c>
      <c r="I20" s="28">
        <f t="shared" ref="I20:I22" si="3">H20*sqrt(5)</f>
        <v>13.41640786</v>
      </c>
    </row>
    <row r="21">
      <c r="B21" s="21" t="s">
        <v>20</v>
      </c>
      <c r="C21" s="21" t="s">
        <v>24</v>
      </c>
      <c r="G21" s="29" t="s">
        <v>25</v>
      </c>
      <c r="H21" s="30">
        <v>15.0</v>
      </c>
      <c r="I21" s="31">
        <f t="shared" si="3"/>
        <v>33.54101966</v>
      </c>
    </row>
    <row r="22">
      <c r="B22" s="21" t="s">
        <v>26</v>
      </c>
      <c r="C22" s="26" t="s">
        <v>27</v>
      </c>
      <c r="G22" s="29" t="s">
        <v>28</v>
      </c>
      <c r="H22" s="30">
        <v>30.0</v>
      </c>
      <c r="I22" s="31">
        <f t="shared" si="3"/>
        <v>67.08203932</v>
      </c>
    </row>
    <row r="23">
      <c r="B23" s="21" t="s">
        <v>29</v>
      </c>
      <c r="C23" s="26" t="s">
        <v>30</v>
      </c>
    </row>
    <row r="24">
      <c r="B24" s="21" t="s">
        <v>31</v>
      </c>
      <c r="C24" s="26" t="s">
        <v>32</v>
      </c>
    </row>
    <row r="31">
      <c r="A31" s="32" t="s">
        <v>33</v>
      </c>
      <c r="B31" s="32" t="s">
        <v>34</v>
      </c>
      <c r="C31" s="32" t="s">
        <v>35</v>
      </c>
    </row>
    <row r="32">
      <c r="A32" s="21" t="s">
        <v>36</v>
      </c>
      <c r="B32" s="21">
        <v>1000.0</v>
      </c>
      <c r="C32" s="21">
        <v>1000.0</v>
      </c>
    </row>
    <row r="33">
      <c r="A33" s="21" t="s">
        <v>37</v>
      </c>
      <c r="B33" s="21">
        <v>1005.517541</v>
      </c>
      <c r="C33" s="21">
        <v>1089.003357</v>
      </c>
    </row>
    <row r="34">
      <c r="A34" s="21" t="s">
        <v>38</v>
      </c>
      <c r="B34" s="21">
        <v>964.328636</v>
      </c>
      <c r="C34" s="21">
        <v>1085.692481</v>
      </c>
    </row>
    <row r="35">
      <c r="A35" s="21" t="s">
        <v>39</v>
      </c>
      <c r="B35" s="21">
        <v>935.95233</v>
      </c>
      <c r="C35" s="21">
        <v>1086.556416</v>
      </c>
    </row>
    <row r="36">
      <c r="A36" s="21" t="s">
        <v>40</v>
      </c>
      <c r="B36" s="21">
        <v>937.454859</v>
      </c>
      <c r="C36" s="21">
        <v>993.446077</v>
      </c>
    </row>
  </sheetData>
  <mergeCells count="3">
    <mergeCell ref="E2:G2"/>
    <mergeCell ref="H2:J2"/>
    <mergeCell ref="G17:H17"/>
  </mergeCells>
  <drawing r:id="rId1"/>
</worksheet>
</file>